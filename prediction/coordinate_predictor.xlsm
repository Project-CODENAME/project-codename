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</externalReferences>
  <definedNames>
    <definedName name="_xlnm._FilterDatabase" localSheetId="1" hidden="1">Calculations!$A$5:$A$64</definedName>
    <definedName name="_xlnm._FilterDatabase" localSheetId="0" hidden="1">HOME!$B$13:$B$56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9" i="3" l="1"/>
  <c r="E109" i="3"/>
  <c r="B11" i="3"/>
  <c r="A11" i="3"/>
  <c r="G11" i="3"/>
  <c r="B12" i="3"/>
  <c r="A12" i="3"/>
  <c r="G12" i="3"/>
  <c r="B13" i="3"/>
  <c r="A13" i="3"/>
  <c r="G13" i="3"/>
  <c r="B14" i="3"/>
  <c r="G14" i="3"/>
  <c r="B15" i="3"/>
  <c r="G15" i="3"/>
  <c r="B16" i="3"/>
  <c r="G16" i="3"/>
  <c r="B17" i="3"/>
  <c r="G17" i="3"/>
  <c r="B18" i="3"/>
  <c r="G18" i="3"/>
  <c r="B19" i="3"/>
  <c r="G19" i="3"/>
  <c r="B20" i="3"/>
  <c r="G20" i="3"/>
  <c r="B21" i="3"/>
  <c r="G21" i="3"/>
  <c r="B22" i="3"/>
  <c r="G22" i="3"/>
  <c r="B23" i="3"/>
  <c r="G23" i="3"/>
  <c r="B24" i="3"/>
  <c r="G24" i="3"/>
  <c r="B25" i="3"/>
  <c r="G25" i="3"/>
  <c r="B26" i="3"/>
  <c r="G26" i="3"/>
  <c r="B27" i="3"/>
  <c r="G27" i="3"/>
  <c r="B28" i="3"/>
  <c r="G28" i="3"/>
  <c r="B29" i="3"/>
  <c r="G29" i="3"/>
  <c r="B30" i="3"/>
  <c r="G30" i="3"/>
  <c r="B31" i="3"/>
  <c r="G31" i="3"/>
  <c r="B32" i="3"/>
  <c r="G32" i="3"/>
  <c r="B33" i="3"/>
  <c r="G33" i="3"/>
  <c r="B34" i="3"/>
  <c r="G34" i="3"/>
  <c r="B35" i="3"/>
  <c r="G35" i="3"/>
  <c r="B36" i="3"/>
  <c r="G36" i="3"/>
  <c r="B37" i="3"/>
  <c r="G37" i="3"/>
  <c r="B38" i="3"/>
  <c r="G38" i="3"/>
  <c r="B39" i="3"/>
  <c r="G39" i="3"/>
  <c r="B40" i="3"/>
  <c r="G40" i="3"/>
  <c r="B41" i="3"/>
  <c r="G41" i="3"/>
  <c r="B42" i="3"/>
  <c r="G42" i="3"/>
  <c r="B43" i="3"/>
  <c r="G43" i="3"/>
  <c r="B44" i="3"/>
  <c r="G44" i="3"/>
  <c r="B45" i="3"/>
  <c r="G45" i="3"/>
  <c r="B46" i="3"/>
  <c r="G46" i="3"/>
  <c r="B47" i="3"/>
  <c r="G47" i="3"/>
  <c r="B48" i="3"/>
  <c r="G48" i="3"/>
  <c r="B49" i="3"/>
  <c r="G49" i="3"/>
  <c r="B50" i="3"/>
  <c r="G50" i="3"/>
  <c r="B51" i="3"/>
  <c r="G51" i="3"/>
  <c r="B52" i="3"/>
  <c r="G52" i="3"/>
  <c r="B53" i="3"/>
  <c r="G53" i="3"/>
  <c r="B54" i="3"/>
  <c r="G54" i="3"/>
  <c r="B55" i="3"/>
  <c r="G55" i="3"/>
  <c r="B56" i="3"/>
  <c r="G56" i="3"/>
  <c r="B57" i="3"/>
  <c r="G57" i="3"/>
  <c r="B58" i="3"/>
  <c r="G58" i="3"/>
  <c r="B59" i="3"/>
  <c r="G59" i="3"/>
  <c r="B60" i="3"/>
  <c r="G60" i="3"/>
  <c r="B61" i="3"/>
  <c r="G61" i="3"/>
  <c r="B62" i="3"/>
  <c r="G62" i="3"/>
  <c r="B63" i="3"/>
  <c r="G63" i="3"/>
  <c r="B64" i="3"/>
  <c r="G64" i="3"/>
  <c r="B65" i="3"/>
  <c r="G65" i="3"/>
  <c r="B66" i="3"/>
  <c r="G66" i="3"/>
  <c r="B67" i="3"/>
  <c r="G67" i="3"/>
  <c r="B68" i="3"/>
  <c r="G68" i="3"/>
  <c r="B69" i="3"/>
  <c r="G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G109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C109" i="3"/>
  <c r="U1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E2" i="4"/>
  <c r="D2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B3" i="4"/>
  <c r="A3" i="4"/>
  <c r="A89" i="3"/>
  <c r="A90" i="3"/>
  <c r="A91" i="3"/>
  <c r="A92" i="3"/>
  <c r="A93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24" i="3"/>
  <c r="A25" i="3"/>
  <c r="A26" i="3"/>
  <c r="A27" i="3"/>
  <c r="A28" i="3"/>
  <c r="A29" i="3"/>
  <c r="A14" i="3"/>
  <c r="A15" i="3"/>
  <c r="A16" i="3"/>
  <c r="A17" i="3"/>
  <c r="A18" i="3"/>
  <c r="A19" i="3"/>
  <c r="A20" i="3"/>
  <c r="A21" i="3"/>
  <c r="A22" i="3"/>
  <c r="A23" i="3"/>
  <c r="W5" i="6"/>
  <c r="X5" i="6"/>
  <c r="A6" i="6"/>
  <c r="A5" i="6"/>
  <c r="C5" i="6"/>
  <c r="B5" i="6"/>
  <c r="I5" i="6"/>
  <c r="F15" i="6"/>
  <c r="J5" i="6"/>
  <c r="N5" i="6"/>
  <c r="F6" i="6"/>
  <c r="L5" i="6"/>
  <c r="R5" i="6"/>
  <c r="Z5" i="6"/>
  <c r="W6" i="6"/>
  <c r="X6" i="6"/>
  <c r="A7" i="6"/>
  <c r="C6" i="6"/>
  <c r="B6" i="6"/>
  <c r="I6" i="6"/>
  <c r="J6" i="6"/>
  <c r="N6" i="6"/>
  <c r="L6" i="6"/>
  <c r="R6" i="6"/>
  <c r="Z6" i="6"/>
  <c r="W7" i="6"/>
  <c r="X7" i="6"/>
  <c r="A8" i="6"/>
  <c r="C7" i="6"/>
  <c r="B7" i="6"/>
  <c r="I7" i="6"/>
  <c r="J7" i="6"/>
  <c r="N7" i="6"/>
  <c r="L7" i="6"/>
  <c r="R7" i="6"/>
  <c r="Z7" i="6"/>
  <c r="W8" i="6"/>
  <c r="X8" i="6"/>
  <c r="A9" i="6"/>
  <c r="C8" i="6"/>
  <c r="B8" i="6"/>
  <c r="I8" i="6"/>
  <c r="J8" i="6"/>
  <c r="N8" i="6"/>
  <c r="L8" i="6"/>
  <c r="R8" i="6"/>
  <c r="Z8" i="6"/>
  <c r="W9" i="6"/>
  <c r="X9" i="6"/>
  <c r="A10" i="6"/>
  <c r="C9" i="6"/>
  <c r="B9" i="6"/>
  <c r="I9" i="6"/>
  <c r="J9" i="6"/>
  <c r="N9" i="6"/>
  <c r="L9" i="6"/>
  <c r="R9" i="6"/>
  <c r="Z9" i="6"/>
  <c r="W10" i="6"/>
  <c r="X10" i="6"/>
  <c r="A11" i="6"/>
  <c r="C10" i="6"/>
  <c r="B10" i="6"/>
  <c r="I10" i="6"/>
  <c r="J10" i="6"/>
  <c r="N10" i="6"/>
  <c r="L10" i="6"/>
  <c r="R10" i="6"/>
  <c r="Z10" i="6"/>
  <c r="W11" i="6"/>
  <c r="X11" i="6"/>
  <c r="A12" i="6"/>
  <c r="C11" i="6"/>
  <c r="B11" i="6"/>
  <c r="I11" i="6"/>
  <c r="J11" i="6"/>
  <c r="N11" i="6"/>
  <c r="L11" i="6"/>
  <c r="R11" i="6"/>
  <c r="Z11" i="6"/>
  <c r="W12" i="6"/>
  <c r="X12" i="6"/>
  <c r="A13" i="6"/>
  <c r="C12" i="6"/>
  <c r="B12" i="6"/>
  <c r="I12" i="6"/>
  <c r="J12" i="6"/>
  <c r="N12" i="6"/>
  <c r="L12" i="6"/>
  <c r="R12" i="6"/>
  <c r="Z12" i="6"/>
  <c r="W13" i="6"/>
  <c r="X13" i="6"/>
  <c r="A14" i="6"/>
  <c r="C13" i="6"/>
  <c r="B13" i="6"/>
  <c r="I13" i="6"/>
  <c r="J13" i="6"/>
  <c r="N13" i="6"/>
  <c r="L13" i="6"/>
  <c r="R13" i="6"/>
  <c r="Z13" i="6"/>
  <c r="W14" i="6"/>
  <c r="X14" i="6"/>
  <c r="A15" i="6"/>
  <c r="C14" i="6"/>
  <c r="B14" i="6"/>
  <c r="I14" i="6"/>
  <c r="J14" i="6"/>
  <c r="N14" i="6"/>
  <c r="L14" i="6"/>
  <c r="R14" i="6"/>
  <c r="Z14" i="6"/>
  <c r="W15" i="6"/>
  <c r="X15" i="6"/>
  <c r="A16" i="6"/>
  <c r="C15" i="6"/>
  <c r="B15" i="6"/>
  <c r="I15" i="6"/>
  <c r="J15" i="6"/>
  <c r="N15" i="6"/>
  <c r="L15" i="6"/>
  <c r="R15" i="6"/>
  <c r="Z15" i="6"/>
  <c r="W16" i="6"/>
  <c r="X16" i="6"/>
  <c r="A17" i="6"/>
  <c r="C16" i="6"/>
  <c r="B16" i="6"/>
  <c r="I16" i="6"/>
  <c r="J16" i="6"/>
  <c r="N16" i="6"/>
  <c r="L16" i="6"/>
  <c r="R16" i="6"/>
  <c r="Z16" i="6"/>
  <c r="W17" i="6"/>
  <c r="X17" i="6"/>
  <c r="A18" i="6"/>
  <c r="C17" i="6"/>
  <c r="B17" i="6"/>
  <c r="I17" i="6"/>
  <c r="J17" i="6"/>
  <c r="N17" i="6"/>
  <c r="L17" i="6"/>
  <c r="R17" i="6"/>
  <c r="Z17" i="6"/>
  <c r="W18" i="6"/>
  <c r="X18" i="6"/>
  <c r="A19" i="6"/>
  <c r="C18" i="6"/>
  <c r="B18" i="6"/>
  <c r="I18" i="6"/>
  <c r="J18" i="6"/>
  <c r="N18" i="6"/>
  <c r="L18" i="6"/>
  <c r="R18" i="6"/>
  <c r="Z18" i="6"/>
  <c r="W19" i="6"/>
  <c r="X19" i="6"/>
  <c r="A20" i="6"/>
  <c r="C19" i="6"/>
  <c r="B19" i="6"/>
  <c r="I19" i="6"/>
  <c r="J19" i="6"/>
  <c r="N19" i="6"/>
  <c r="L19" i="6"/>
  <c r="R19" i="6"/>
  <c r="Z19" i="6"/>
  <c r="W20" i="6"/>
  <c r="X20" i="6"/>
  <c r="A21" i="6"/>
  <c r="C20" i="6"/>
  <c r="B20" i="6"/>
  <c r="I20" i="6"/>
  <c r="J20" i="6"/>
  <c r="N20" i="6"/>
  <c r="L20" i="6"/>
  <c r="R20" i="6"/>
  <c r="Z20" i="6"/>
  <c r="W21" i="6"/>
  <c r="X21" i="6"/>
  <c r="A22" i="6"/>
  <c r="C21" i="6"/>
  <c r="B21" i="6"/>
  <c r="I21" i="6"/>
  <c r="J21" i="6"/>
  <c r="N21" i="6"/>
  <c r="L21" i="6"/>
  <c r="R21" i="6"/>
  <c r="Z21" i="6"/>
  <c r="W22" i="6"/>
  <c r="X22" i="6"/>
  <c r="A23" i="6"/>
  <c r="C22" i="6"/>
  <c r="B22" i="6"/>
  <c r="I22" i="6"/>
  <c r="J22" i="6"/>
  <c r="N22" i="6"/>
  <c r="L22" i="6"/>
  <c r="R22" i="6"/>
  <c r="Z22" i="6"/>
  <c r="W23" i="6"/>
  <c r="X23" i="6"/>
  <c r="A24" i="6"/>
  <c r="C23" i="6"/>
  <c r="B23" i="6"/>
  <c r="I23" i="6"/>
  <c r="J23" i="6"/>
  <c r="N23" i="6"/>
  <c r="L23" i="6"/>
  <c r="R23" i="6"/>
  <c r="Z23" i="6"/>
  <c r="W24" i="6"/>
  <c r="X24" i="6"/>
  <c r="A25" i="6"/>
  <c r="C24" i="6"/>
  <c r="B24" i="6"/>
  <c r="I24" i="6"/>
  <c r="J24" i="6"/>
  <c r="N24" i="6"/>
  <c r="L24" i="6"/>
  <c r="R24" i="6"/>
  <c r="Z24" i="6"/>
  <c r="W25" i="6"/>
  <c r="X25" i="6"/>
  <c r="A26" i="6"/>
  <c r="C25" i="6"/>
  <c r="B25" i="6"/>
  <c r="I25" i="6"/>
  <c r="J25" i="6"/>
  <c r="N25" i="6"/>
  <c r="L25" i="6"/>
  <c r="R25" i="6"/>
  <c r="Z25" i="6"/>
  <c r="W26" i="6"/>
  <c r="X26" i="6"/>
  <c r="A27" i="6"/>
  <c r="C26" i="6"/>
  <c r="B26" i="6"/>
  <c r="I26" i="6"/>
  <c r="J26" i="6"/>
  <c r="N26" i="6"/>
  <c r="L26" i="6"/>
  <c r="R26" i="6"/>
  <c r="Z26" i="6"/>
  <c r="W27" i="6"/>
  <c r="X27" i="6"/>
  <c r="A28" i="6"/>
  <c r="C27" i="6"/>
  <c r="B27" i="6"/>
  <c r="I27" i="6"/>
  <c r="J27" i="6"/>
  <c r="N27" i="6"/>
  <c r="L27" i="6"/>
  <c r="R27" i="6"/>
  <c r="Z27" i="6"/>
  <c r="W28" i="6"/>
  <c r="X28" i="6"/>
  <c r="A29" i="6"/>
  <c r="C28" i="6"/>
  <c r="B28" i="6"/>
  <c r="I28" i="6"/>
  <c r="J28" i="6"/>
  <c r="N28" i="6"/>
  <c r="L28" i="6"/>
  <c r="R28" i="6"/>
  <c r="Z28" i="6"/>
  <c r="W29" i="6"/>
  <c r="X29" i="6"/>
  <c r="A30" i="6"/>
  <c r="C29" i="6"/>
  <c r="B29" i="6"/>
  <c r="I29" i="6"/>
  <c r="J29" i="6"/>
  <c r="N29" i="6"/>
  <c r="L29" i="6"/>
  <c r="R29" i="6"/>
  <c r="Z29" i="6"/>
  <c r="W30" i="6"/>
  <c r="X30" i="6"/>
  <c r="A31" i="6"/>
  <c r="C30" i="6"/>
  <c r="B30" i="6"/>
  <c r="I30" i="6"/>
  <c r="J30" i="6"/>
  <c r="N30" i="6"/>
  <c r="L30" i="6"/>
  <c r="R30" i="6"/>
  <c r="Z30" i="6"/>
  <c r="W31" i="6"/>
  <c r="X31" i="6"/>
  <c r="A32" i="6"/>
  <c r="C31" i="6"/>
  <c r="B31" i="6"/>
  <c r="I31" i="6"/>
  <c r="J31" i="6"/>
  <c r="N31" i="6"/>
  <c r="L31" i="6"/>
  <c r="R31" i="6"/>
  <c r="Z31" i="6"/>
  <c r="W32" i="6"/>
  <c r="X32" i="6"/>
  <c r="A33" i="6"/>
  <c r="C32" i="6"/>
  <c r="B32" i="6"/>
  <c r="I32" i="6"/>
  <c r="J32" i="6"/>
  <c r="N32" i="6"/>
  <c r="L32" i="6"/>
  <c r="R32" i="6"/>
  <c r="Z32" i="6"/>
  <c r="W33" i="6"/>
  <c r="X33" i="6"/>
  <c r="A34" i="6"/>
  <c r="C33" i="6"/>
  <c r="B33" i="6"/>
  <c r="I33" i="6"/>
  <c r="J33" i="6"/>
  <c r="N33" i="6"/>
  <c r="L33" i="6"/>
  <c r="R33" i="6"/>
  <c r="Z33" i="6"/>
  <c r="W34" i="6"/>
  <c r="X34" i="6"/>
  <c r="A35" i="6"/>
  <c r="C34" i="6"/>
  <c r="B34" i="6"/>
  <c r="I34" i="6"/>
  <c r="J34" i="6"/>
  <c r="N34" i="6"/>
  <c r="L34" i="6"/>
  <c r="R34" i="6"/>
  <c r="Z34" i="6"/>
  <c r="W35" i="6"/>
  <c r="X35" i="6"/>
  <c r="A36" i="6"/>
  <c r="C35" i="6"/>
  <c r="B35" i="6"/>
  <c r="I35" i="6"/>
  <c r="J35" i="6"/>
  <c r="N35" i="6"/>
  <c r="L35" i="6"/>
  <c r="R35" i="6"/>
  <c r="Z35" i="6"/>
  <c r="W36" i="6"/>
  <c r="X36" i="6"/>
  <c r="A37" i="6"/>
  <c r="C36" i="6"/>
  <c r="B36" i="6"/>
  <c r="I36" i="6"/>
  <c r="J36" i="6"/>
  <c r="N36" i="6"/>
  <c r="L36" i="6"/>
  <c r="R36" i="6"/>
  <c r="Z36" i="6"/>
  <c r="W37" i="6"/>
  <c r="X37" i="6"/>
  <c r="A38" i="6"/>
  <c r="C37" i="6"/>
  <c r="B37" i="6"/>
  <c r="I37" i="6"/>
  <c r="J37" i="6"/>
  <c r="N37" i="6"/>
  <c r="L37" i="6"/>
  <c r="R37" i="6"/>
  <c r="Z37" i="6"/>
  <c r="W38" i="6"/>
  <c r="X38" i="6"/>
  <c r="A39" i="6"/>
  <c r="C38" i="6"/>
  <c r="B38" i="6"/>
  <c r="I38" i="6"/>
  <c r="J38" i="6"/>
  <c r="N38" i="6"/>
  <c r="L38" i="6"/>
  <c r="R38" i="6"/>
  <c r="Z38" i="6"/>
  <c r="W39" i="6"/>
  <c r="X39" i="6"/>
  <c r="A40" i="6"/>
  <c r="C39" i="6"/>
  <c r="B39" i="6"/>
  <c r="I39" i="6"/>
  <c r="J39" i="6"/>
  <c r="N39" i="6"/>
  <c r="L39" i="6"/>
  <c r="R39" i="6"/>
  <c r="Z39" i="6"/>
  <c r="W40" i="6"/>
  <c r="X40" i="6"/>
  <c r="A41" i="6"/>
  <c r="C40" i="6"/>
  <c r="B40" i="6"/>
  <c r="I40" i="6"/>
  <c r="J40" i="6"/>
  <c r="N40" i="6"/>
  <c r="L40" i="6"/>
  <c r="R40" i="6"/>
  <c r="Z40" i="6"/>
  <c r="W41" i="6"/>
  <c r="X41" i="6"/>
  <c r="A42" i="6"/>
  <c r="C41" i="6"/>
  <c r="B41" i="6"/>
  <c r="I41" i="6"/>
  <c r="J41" i="6"/>
  <c r="N41" i="6"/>
  <c r="L41" i="6"/>
  <c r="R41" i="6"/>
  <c r="Z41" i="6"/>
  <c r="W42" i="6"/>
  <c r="X42" i="6"/>
  <c r="A43" i="6"/>
  <c r="C42" i="6"/>
  <c r="B42" i="6"/>
  <c r="I42" i="6"/>
  <c r="J42" i="6"/>
  <c r="N42" i="6"/>
  <c r="L42" i="6"/>
  <c r="R42" i="6"/>
  <c r="Z42" i="6"/>
  <c r="W43" i="6"/>
  <c r="X43" i="6"/>
  <c r="A44" i="6"/>
  <c r="C43" i="6"/>
  <c r="B43" i="6"/>
  <c r="I43" i="6"/>
  <c r="J43" i="6"/>
  <c r="N43" i="6"/>
  <c r="L43" i="6"/>
  <c r="R43" i="6"/>
  <c r="Z43" i="6"/>
  <c r="W44" i="6"/>
  <c r="X44" i="6"/>
  <c r="A45" i="6"/>
  <c r="C44" i="6"/>
  <c r="B44" i="6"/>
  <c r="I44" i="6"/>
  <c r="J44" i="6"/>
  <c r="N44" i="6"/>
  <c r="L44" i="6"/>
  <c r="R44" i="6"/>
  <c r="Z44" i="6"/>
  <c r="W45" i="6"/>
  <c r="X45" i="6"/>
  <c r="A46" i="6"/>
  <c r="C45" i="6"/>
  <c r="B45" i="6"/>
  <c r="I45" i="6"/>
  <c r="J45" i="6"/>
  <c r="N45" i="6"/>
  <c r="L45" i="6"/>
  <c r="R45" i="6"/>
  <c r="Z45" i="6"/>
  <c r="W46" i="6"/>
  <c r="X46" i="6"/>
  <c r="A47" i="6"/>
  <c r="C46" i="6"/>
  <c r="B46" i="6"/>
  <c r="I46" i="6"/>
  <c r="J46" i="6"/>
  <c r="N46" i="6"/>
  <c r="L46" i="6"/>
  <c r="R46" i="6"/>
  <c r="Z46" i="6"/>
  <c r="W47" i="6"/>
  <c r="X47" i="6"/>
  <c r="A48" i="6"/>
  <c r="C47" i="6"/>
  <c r="B47" i="6"/>
  <c r="I47" i="6"/>
  <c r="J47" i="6"/>
  <c r="N47" i="6"/>
  <c r="L47" i="6"/>
  <c r="R47" i="6"/>
  <c r="Z47" i="6"/>
  <c r="W48" i="6"/>
  <c r="X48" i="6"/>
  <c r="A49" i="6"/>
  <c r="C48" i="6"/>
  <c r="B48" i="6"/>
  <c r="I48" i="6"/>
  <c r="J48" i="6"/>
  <c r="N48" i="6"/>
  <c r="L48" i="6"/>
  <c r="R48" i="6"/>
  <c r="Z48" i="6"/>
  <c r="W49" i="6"/>
  <c r="X49" i="6"/>
  <c r="A50" i="6"/>
  <c r="C49" i="6"/>
  <c r="B49" i="6"/>
  <c r="I49" i="6"/>
  <c r="J49" i="6"/>
  <c r="N49" i="6"/>
  <c r="L49" i="6"/>
  <c r="R49" i="6"/>
  <c r="Z49" i="6"/>
  <c r="W50" i="6"/>
  <c r="X50" i="6"/>
  <c r="A51" i="6"/>
  <c r="C50" i="6"/>
  <c r="B50" i="6"/>
  <c r="I50" i="6"/>
  <c r="J50" i="6"/>
  <c r="N50" i="6"/>
  <c r="L50" i="6"/>
  <c r="R50" i="6"/>
  <c r="Z50" i="6"/>
  <c r="W51" i="6"/>
  <c r="X51" i="6"/>
  <c r="A52" i="6"/>
  <c r="C51" i="6"/>
  <c r="B51" i="6"/>
  <c r="I51" i="6"/>
  <c r="J51" i="6"/>
  <c r="N51" i="6"/>
  <c r="L51" i="6"/>
  <c r="R51" i="6"/>
  <c r="Z51" i="6"/>
  <c r="W52" i="6"/>
  <c r="X52" i="6"/>
  <c r="A53" i="6"/>
  <c r="C52" i="6"/>
  <c r="B52" i="6"/>
  <c r="I52" i="6"/>
  <c r="J52" i="6"/>
  <c r="N52" i="6"/>
  <c r="L52" i="6"/>
  <c r="R52" i="6"/>
  <c r="Z52" i="6"/>
  <c r="W53" i="6"/>
  <c r="X53" i="6"/>
  <c r="A54" i="6"/>
  <c r="C53" i="6"/>
  <c r="B53" i="6"/>
  <c r="I53" i="6"/>
  <c r="J53" i="6"/>
  <c r="N53" i="6"/>
  <c r="L53" i="6"/>
  <c r="R53" i="6"/>
  <c r="Z53" i="6"/>
  <c r="W54" i="6"/>
  <c r="X54" i="6"/>
  <c r="A55" i="6"/>
  <c r="C54" i="6"/>
  <c r="B54" i="6"/>
  <c r="I54" i="6"/>
  <c r="J54" i="6"/>
  <c r="N54" i="6"/>
  <c r="L54" i="6"/>
  <c r="R54" i="6"/>
  <c r="Z54" i="6"/>
  <c r="W55" i="6"/>
  <c r="X55" i="6"/>
  <c r="A56" i="6"/>
  <c r="C55" i="6"/>
  <c r="B55" i="6"/>
  <c r="I55" i="6"/>
  <c r="J55" i="6"/>
  <c r="N55" i="6"/>
  <c r="L55" i="6"/>
  <c r="R55" i="6"/>
  <c r="Z55" i="6"/>
  <c r="W56" i="6"/>
  <c r="X56" i="6"/>
  <c r="A57" i="6"/>
  <c r="C56" i="6"/>
  <c r="B56" i="6"/>
  <c r="I56" i="6"/>
  <c r="J56" i="6"/>
  <c r="N56" i="6"/>
  <c r="L56" i="6"/>
  <c r="R56" i="6"/>
  <c r="Z56" i="6"/>
  <c r="W57" i="6"/>
  <c r="X57" i="6"/>
  <c r="A58" i="6"/>
  <c r="C57" i="6"/>
  <c r="B57" i="6"/>
  <c r="I57" i="6"/>
  <c r="J57" i="6"/>
  <c r="N57" i="6"/>
  <c r="L57" i="6"/>
  <c r="R57" i="6"/>
  <c r="Z57" i="6"/>
  <c r="W58" i="6"/>
  <c r="X58" i="6"/>
  <c r="A59" i="6"/>
  <c r="C58" i="6"/>
  <c r="B58" i="6"/>
  <c r="I58" i="6"/>
  <c r="J58" i="6"/>
  <c r="N58" i="6"/>
  <c r="L58" i="6"/>
  <c r="R58" i="6"/>
  <c r="Z58" i="6"/>
  <c r="W59" i="6"/>
  <c r="X59" i="6"/>
  <c r="A60" i="6"/>
  <c r="C59" i="6"/>
  <c r="B59" i="6"/>
  <c r="I59" i="6"/>
  <c r="J59" i="6"/>
  <c r="N59" i="6"/>
  <c r="L59" i="6"/>
  <c r="R59" i="6"/>
  <c r="Z59" i="6"/>
  <c r="W60" i="6"/>
  <c r="X60" i="6"/>
  <c r="A61" i="6"/>
  <c r="C60" i="6"/>
  <c r="B60" i="6"/>
  <c r="I60" i="6"/>
  <c r="J60" i="6"/>
  <c r="N60" i="6"/>
  <c r="L60" i="6"/>
  <c r="R60" i="6"/>
  <c r="Z60" i="6"/>
  <c r="W61" i="6"/>
  <c r="X61" i="6"/>
  <c r="A62" i="6"/>
  <c r="C61" i="6"/>
  <c r="B61" i="6"/>
  <c r="I61" i="6"/>
  <c r="J61" i="6"/>
  <c r="N61" i="6"/>
  <c r="L61" i="6"/>
  <c r="R61" i="6"/>
  <c r="Z61" i="6"/>
  <c r="W62" i="6"/>
  <c r="X62" i="6"/>
  <c r="A63" i="6"/>
  <c r="C62" i="6"/>
  <c r="B62" i="6"/>
  <c r="I62" i="6"/>
  <c r="J62" i="6"/>
  <c r="N62" i="6"/>
  <c r="L62" i="6"/>
  <c r="R62" i="6"/>
  <c r="Z62" i="6"/>
  <c r="W63" i="6"/>
  <c r="X63" i="6"/>
  <c r="A64" i="6"/>
  <c r="C63" i="6"/>
  <c r="B63" i="6"/>
  <c r="I63" i="6"/>
  <c r="J63" i="6"/>
  <c r="N63" i="6"/>
  <c r="L63" i="6"/>
  <c r="R63" i="6"/>
  <c r="Z63" i="6"/>
  <c r="W64" i="6"/>
  <c r="X64" i="6"/>
  <c r="Z64" i="6"/>
  <c r="D83" i="6"/>
  <c r="C64" i="6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E6" i="3"/>
  <c r="F5" i="6"/>
  <c r="F4" i="6"/>
  <c r="F3" i="6"/>
  <c r="F18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</calcChain>
</file>

<file path=xl/sharedStrings.xml><?xml version="1.0" encoding="utf-8"?>
<sst xmlns="http://schemas.openxmlformats.org/spreadsheetml/2006/main" count="226" uniqueCount="70">
  <si>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</si>
  <si>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</si>
  <si>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</si>
  <si>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</si>
  <si>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</si>
  <si>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</si>
  <si>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</si>
  <si>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</si>
  <si>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</si>
  <si>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</si>
  <si>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</si>
  <si>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</si>
  <si>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</si>
  <si>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</si>
  <si>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</si>
  <si>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</si>
  <si>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</si>
  <si>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</si>
  <si>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</si>
  <si>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</si>
  <si>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</si>
  <si>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</si>
  <si>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</si>
  <si>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</si>
  <si>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</si>
  <si>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</si>
  <si>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</si>
  <si>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</si>
  <si>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</si>
  <si>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</si>
  <si>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</si>
  <si>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</si>
  <si>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</si>
  <si>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</si>
  <si>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</si>
  <si>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</si>
  <si>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</si>
  <si>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</si>
  <si>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</si>
  <si>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</si>
  <si>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</si>
  <si>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Total Flight Time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</si>
  <si>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</si>
  <si>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</si>
  <si>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</si>
  <si>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</si>
  <si>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</si>
  <si>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</si>
  <si>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</si>
  <si>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Distance From Starting Point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</si>
  <si>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</si>
  <si>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</si>
  <si>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</si>
  <si>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</si>
  <si>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</si>
  <si>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</si>
  <si>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</si>
  <si>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</si>
  <si>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</si>
  <si>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</si>
  <si>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</si>
  <si>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</si>
  <si>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</si>
  <si>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date selected</t>
  </si>
  <si>
    <t>Distance Target 2</t>
  </si>
  <si>
    <t>Distance Target 1 (mi)</t>
  </si>
  <si>
    <t>Target Point 1</t>
  </si>
  <si>
    <t>Target Point 2</t>
  </si>
  <si>
    <t>descent velocity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</si>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</sst>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6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0" fillId="0" borderId="1" xfId="0" quotePrefix="1" applyBorder="1"/>
    <xf numFmtId="0" fontId="16" fillId="5" borderId="0" xfId="1" applyFont="1" applyFill="1"/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8</xdr:col>
          <xdr:colOff>12700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/Google%20Drive/12th%20Grade/AP%20Physics%202/projectCODENAME/predictor/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5.0474126179611N101.529715311625W" TargetMode="External"/><Relationship Id="rId2" Type="http://schemas.openxmlformats.org/officeDocument/2006/relationships/hyperlink" Target="https://www.google.com/maps/place/44.9550948800817N101.641220058069W" TargetMode="External"/><Relationship Id="rId3" Type="http://schemas.openxmlformats.org/officeDocument/2006/relationships/hyperlink" Target="https://www.google.com/maps/place/44.9898858593768N101.674344949969W" TargetMode="External"/><Relationship Id="rId4" Type="http://schemas.openxmlformats.org/officeDocument/2006/relationships/hyperlink" Target="https://www.google.com/maps/place/44.9766300646334N101.694988798007W" TargetMode="External"/><Relationship Id="rId5" Type="http://schemas.openxmlformats.org/officeDocument/2006/relationships/hyperlink" Target="https://www.google.com/maps/place/44.9399964498301N101.606739927426W" TargetMode="External"/><Relationship Id="rId6" Type="http://schemas.openxmlformats.org/officeDocument/2006/relationships/hyperlink" Target="https://www.google.com/maps/place/44.9511333183087N101.649463524386W" TargetMode="External"/><Relationship Id="rId7" Type="http://schemas.openxmlformats.org/officeDocument/2006/relationships/hyperlink" Target="https://www.google.com/maps/place/45.0051273712904N101.649270653853W" TargetMode="External"/><Relationship Id="rId8" Type="http://schemas.openxmlformats.org/officeDocument/2006/relationships/hyperlink" Target="https://www.google.com/maps/place/45.0216824111622N101.461080099357W" TargetMode="External"/><Relationship Id="rId9" Type="http://schemas.openxmlformats.org/officeDocument/2006/relationships/hyperlink" Target="https://www.google.com/maps/place/44.9687960033654N101.34316846823W" TargetMode="External"/><Relationship Id="rId10" Type="http://schemas.openxmlformats.org/officeDocument/2006/relationships/hyperlink" Target="https://www.google.com/maps/place/44.9110110119124N101.35834589064W" TargetMode="External"/><Relationship Id="rId11" Type="http://schemas.openxmlformats.org/officeDocument/2006/relationships/hyperlink" Target="https://www.google.com/maps/place/44.8460798657977N101.331310496926W" TargetMode="External"/><Relationship Id="rId12" Type="http://schemas.openxmlformats.org/officeDocument/2006/relationships/hyperlink" Target="https://www.google.com/maps/place/44.7704982541378N101.331317678388W" TargetMode="External"/><Relationship Id="rId13" Type="http://schemas.openxmlformats.org/officeDocument/2006/relationships/hyperlink" Target="https://www.google.com/maps/place/44.6920952018611N101.325149566164W" TargetMode="External"/><Relationship Id="rId14" Type="http://schemas.openxmlformats.org/officeDocument/2006/relationships/hyperlink" Target="https://www.google.com/maps/place/44.5896535454966N101.449345193249W" TargetMode="External"/><Relationship Id="rId15" Type="http://schemas.openxmlformats.org/officeDocument/2006/relationships/hyperlink" Target="https://www.google.com/maps/place/44.4972906152315N101.586578269971W" TargetMode="External"/><Relationship Id="rId16" Type="http://schemas.openxmlformats.org/officeDocument/2006/relationships/hyperlink" Target="https://www.google.com/maps/place/44.4029630891256N101.648519955632W" TargetMode="External"/><Relationship Id="rId17" Type="http://schemas.openxmlformats.org/officeDocument/2006/relationships/hyperlink" Target="https://www.google.com/maps/place/44.2605955298769N101.756085984844W" TargetMode="External"/><Relationship Id="rId18" Type="http://schemas.openxmlformats.org/officeDocument/2006/relationships/hyperlink" Target="https://www.google.com/maps/place/44.126606155447N101.788961722132W" TargetMode="External"/><Relationship Id="rId19" Type="http://schemas.openxmlformats.org/officeDocument/2006/relationships/hyperlink" Target="https://www.google.com/maps/place/43.9840203368559N101.800947259914W" TargetMode="External"/><Relationship Id="rId30" Type="http://schemas.openxmlformats.org/officeDocument/2006/relationships/hyperlink" Target="https://www.google.com/maps/place/43.6762389080255N101.885436637142W" TargetMode="External"/><Relationship Id="rId31" Type="http://schemas.openxmlformats.org/officeDocument/2006/relationships/hyperlink" Target="https://www.google.com/maps/place/43.7580139880638N101.882001663833W" TargetMode="External"/><Relationship Id="rId32" Type="http://schemas.openxmlformats.org/officeDocument/2006/relationships/hyperlink" Target="https://www.google.com/maps/place/43.8383360866474N101.868781514733W" TargetMode="External"/><Relationship Id="rId33" Type="http://schemas.openxmlformats.org/officeDocument/2006/relationships/hyperlink" Target="https://www.google.com/maps/place/43.8815575484083N101.852679125135W" TargetMode="External"/><Relationship Id="rId34" Type="http://schemas.openxmlformats.org/officeDocument/2006/relationships/hyperlink" Target="https://www.google.com/maps/place/43.8882195031891N101.864263448105W" TargetMode="External"/><Relationship Id="rId35" Type="http://schemas.openxmlformats.org/officeDocument/2006/relationships/hyperlink" Target="https://www.google.com/maps/place/43.9345650362786N101.856040396205W" TargetMode="External"/><Relationship Id="rId36" Type="http://schemas.openxmlformats.org/officeDocument/2006/relationships/hyperlink" Target="https://www.google.com/maps/place/43.9938518357565N101.851910151953W" TargetMode="External"/><Relationship Id="rId37" Type="http://schemas.openxmlformats.org/officeDocument/2006/relationships/hyperlink" Target="https://www.google.com/maps/place/44.0531861649396N101.848893290349W" TargetMode="External"/><Relationship Id="rId38" Type="http://schemas.openxmlformats.org/officeDocument/2006/relationships/hyperlink" Target="https://www.google.com/maps/place/44.1116327868299N101.884959748846W" TargetMode="External"/><Relationship Id="rId39" Type="http://schemas.openxmlformats.org/officeDocument/2006/relationships/hyperlink" Target="https://www.google.com/maps/place/44.1694631944467N101.920686190751W" TargetMode="External"/><Relationship Id="rId50" Type="http://schemas.openxmlformats.org/officeDocument/2006/relationships/hyperlink" Target="https://www.google.com/maps/place/44.2669945545957N102.074425938746W" TargetMode="External"/><Relationship Id="rId51" Type="http://schemas.openxmlformats.org/officeDocument/2006/relationships/hyperlink" Target="https://www.google.com/maps/place/44.2787720655966N102.209448530861W" TargetMode="External"/><Relationship Id="rId52" Type="http://schemas.openxmlformats.org/officeDocument/2006/relationships/hyperlink" Target="https://www.google.com/maps/place/44.2974661278072N102.289849199839W" TargetMode="External"/><Relationship Id="rId53" Type="http://schemas.openxmlformats.org/officeDocument/2006/relationships/hyperlink" Target="https://www.google.com/maps/place/44.3037005869017N102.3485903325W" TargetMode="External"/><Relationship Id="rId54" Type="http://schemas.openxmlformats.org/officeDocument/2006/relationships/hyperlink" Target="https://www.google.com/maps/place/44.3099622809529N102.397531580707W" TargetMode="External"/><Relationship Id="rId55" Type="http://schemas.openxmlformats.org/officeDocument/2006/relationships/hyperlink" Target="https://www.google.com/maps/place/44.3082012635988N102.450915443953W" TargetMode="External"/><Relationship Id="rId56" Type="http://schemas.openxmlformats.org/officeDocument/2006/relationships/hyperlink" Target="https://www.google.com/maps/place/44.30138349693N102.510305877517W" TargetMode="External"/><Relationship Id="rId57" Type="http://schemas.openxmlformats.org/officeDocument/2006/relationships/hyperlink" Target="https://www.google.com/maps/place/44.2550873017206N102.522595463032W" TargetMode="External"/><Relationship Id="rId58" Type="http://schemas.openxmlformats.org/officeDocument/2006/relationships/hyperlink" Target="https://www.google.com/maps/place/44.1920276852994N102.577677862458W" TargetMode="External"/><Relationship Id="rId59" Type="http://schemas.openxmlformats.org/officeDocument/2006/relationships/hyperlink" Target="https://www.google.com/maps/place/44.1545802795697N102.676011724136W" TargetMode="External"/><Relationship Id="rId70" Type="http://schemas.openxmlformats.org/officeDocument/2006/relationships/hyperlink" Target="https://www.google.com/maps/place/44.1930040473716N102.957527380879W" TargetMode="External"/><Relationship Id="rId71" Type="http://schemas.openxmlformats.org/officeDocument/2006/relationships/hyperlink" Target="https://www.google.com/maps/place/44.1176919816525N102.959379040972W" TargetMode="External"/><Relationship Id="rId72" Type="http://schemas.openxmlformats.org/officeDocument/2006/relationships/hyperlink" Target="https://www.google.com/maps/place/44.061519354003N102.984432807398W" TargetMode="External"/><Relationship Id="rId73" Type="http://schemas.openxmlformats.org/officeDocument/2006/relationships/hyperlink" Target="https://www.google.com/maps/place/44.0058664655098N103.012919581434W" TargetMode="External"/><Relationship Id="rId74" Type="http://schemas.openxmlformats.org/officeDocument/2006/relationships/hyperlink" Target="https://www.google.com/maps/place/43.9605828594898N103.05791285086W" TargetMode="External"/><Relationship Id="rId75" Type="http://schemas.openxmlformats.org/officeDocument/2006/relationships/hyperlink" Target="https://www.google.com/maps/place/43.9631713761889N103.109201324481W" TargetMode="External"/><Relationship Id="rId76" Type="http://schemas.openxmlformats.org/officeDocument/2006/relationships/hyperlink" Target="https://www.google.com/maps/place/43.9744838086814N103.10452026478W" TargetMode="External"/><Relationship Id="rId77" Type="http://schemas.openxmlformats.org/officeDocument/2006/relationships/hyperlink" Target="https://www.google.com/maps/place/43.9925260487721N103.086165307277W" TargetMode="External"/><Relationship Id="rId78" Type="http://schemas.openxmlformats.org/officeDocument/2006/relationships/hyperlink" Target="https://www.google.com/maps/place/44.0054731411669N103.062497677517W" TargetMode="External"/><Relationship Id="rId79" Type="http://schemas.openxmlformats.org/officeDocument/2006/relationships/hyperlink" Target="https://www.google.com/maps/place/44.0118015663275N103.037588972176W" TargetMode="External"/><Relationship Id="rId20" Type="http://schemas.openxmlformats.org/officeDocument/2006/relationships/hyperlink" Target="https://www.google.com/maps/place/43.9362514274551N101.69561303332W" TargetMode="External"/><Relationship Id="rId21" Type="http://schemas.openxmlformats.org/officeDocument/2006/relationships/hyperlink" Target="https://www.google.com/maps/place/43.8245421956485N101.587112592886W" TargetMode="External"/><Relationship Id="rId22" Type="http://schemas.openxmlformats.org/officeDocument/2006/relationships/hyperlink" Target="https://www.google.com/maps/place/43.6253030933583N101.595318985826W" TargetMode="External"/><Relationship Id="rId23" Type="http://schemas.openxmlformats.org/officeDocument/2006/relationships/hyperlink" Target="https://www.google.com/maps/place/43.5854683921689N101.570198312112W" TargetMode="External"/><Relationship Id="rId24" Type="http://schemas.openxmlformats.org/officeDocument/2006/relationships/hyperlink" Target="https://www.google.com/maps/place/43.4836764643186N101.586139458078W" TargetMode="External"/><Relationship Id="rId25" Type="http://schemas.openxmlformats.org/officeDocument/2006/relationships/hyperlink" Target="https://www.google.com/maps/place/43.4088308189538N101.681899069349W" TargetMode="External"/><Relationship Id="rId26" Type="http://schemas.openxmlformats.org/officeDocument/2006/relationships/hyperlink" Target="https://www.google.com/maps/place/43.4233017210237N101.692621299299W" TargetMode="External"/><Relationship Id="rId27" Type="http://schemas.openxmlformats.org/officeDocument/2006/relationships/hyperlink" Target="https://www.google.com/maps/place/43.418873791854N101.829825562464W" TargetMode="External"/><Relationship Id="rId28" Type="http://schemas.openxmlformats.org/officeDocument/2006/relationships/hyperlink" Target="https://www.google.com/maps/place/43.5028987470934N101.840635412121W" TargetMode="External"/><Relationship Id="rId29" Type="http://schemas.openxmlformats.org/officeDocument/2006/relationships/hyperlink" Target="https://www.google.com/maps/place/43.5893165275243N101.876014510489W" TargetMode="External"/><Relationship Id="rId40" Type="http://schemas.openxmlformats.org/officeDocument/2006/relationships/hyperlink" Target="https://www.google.com/maps/place/44.2612670780716N101.899214894234W" TargetMode="External"/><Relationship Id="rId41" Type="http://schemas.openxmlformats.org/officeDocument/2006/relationships/hyperlink" Target="https://www.google.com/maps/place/44.3465958304741N101.886746008491W" TargetMode="External"/><Relationship Id="rId42" Type="http://schemas.openxmlformats.org/officeDocument/2006/relationships/hyperlink" Target="https://www.google.com/maps/place/44.4047219682511N101.848874299547W" TargetMode="External"/><Relationship Id="rId43" Type="http://schemas.openxmlformats.org/officeDocument/2006/relationships/hyperlink" Target="https://www.google.com/maps/place/44.4317749749767N101.800454292141W" TargetMode="External"/><Relationship Id="rId44" Type="http://schemas.openxmlformats.org/officeDocument/2006/relationships/hyperlink" Target="https://www.google.com/maps/place/44.4283548332874N101.738379499887W" TargetMode="External"/><Relationship Id="rId45" Type="http://schemas.openxmlformats.org/officeDocument/2006/relationships/hyperlink" Target="https://www.google.com/maps/place/44.389919834877N101.678857050518W" TargetMode="External"/><Relationship Id="rId46" Type="http://schemas.openxmlformats.org/officeDocument/2006/relationships/hyperlink" Target="https://www.google.com/maps/place/44.3531502677491N101.708661947496W" TargetMode="External"/><Relationship Id="rId47" Type="http://schemas.openxmlformats.org/officeDocument/2006/relationships/hyperlink" Target="https://www.google.com/maps/place/44.3160799835722N101.754467469881W" TargetMode="External"/><Relationship Id="rId48" Type="http://schemas.openxmlformats.org/officeDocument/2006/relationships/hyperlink" Target="https://www.google.com/maps/place/44.283351148295N101.837755384596W" TargetMode="External"/><Relationship Id="rId49" Type="http://schemas.openxmlformats.org/officeDocument/2006/relationships/hyperlink" Target="https://www.google.com/maps/place/44.2663999195828N101.942369995617W" TargetMode="External"/><Relationship Id="rId60" Type="http://schemas.openxmlformats.org/officeDocument/2006/relationships/hyperlink" Target="https://www.google.com/maps/place/44.1285760340474N102.813357555175W" TargetMode="External"/><Relationship Id="rId61" Type="http://schemas.openxmlformats.org/officeDocument/2006/relationships/hyperlink" Target="https://www.google.com/maps/place/44.118054999978N102.942189285987W" TargetMode="External"/><Relationship Id="rId62" Type="http://schemas.openxmlformats.org/officeDocument/2006/relationships/hyperlink" Target="https://www.google.com/maps/place/44.1397735684883N103.060122618555W" TargetMode="External"/><Relationship Id="rId63" Type="http://schemas.openxmlformats.org/officeDocument/2006/relationships/hyperlink" Target="https://www.google.com/maps/place/44.1897109702178N103.134928494168W" TargetMode="External"/><Relationship Id="rId64" Type="http://schemas.openxmlformats.org/officeDocument/2006/relationships/hyperlink" Target="https://www.google.com/maps/place/44.2382378408862N103.137740634694W" TargetMode="External"/><Relationship Id="rId65" Type="http://schemas.openxmlformats.org/officeDocument/2006/relationships/hyperlink" Target="https://www.google.com/maps/place/44.2709079265591N103.105513686167W" TargetMode="External"/><Relationship Id="rId66" Type="http://schemas.openxmlformats.org/officeDocument/2006/relationships/hyperlink" Target="https://www.google.com/maps/place/44.307647432356N103.096506105481W" TargetMode="External"/><Relationship Id="rId67" Type="http://schemas.openxmlformats.org/officeDocument/2006/relationships/hyperlink" Target="https://www.google.com/maps/place/44.3183480862336N103.089296933227W" TargetMode="External"/><Relationship Id="rId68" Type="http://schemas.openxmlformats.org/officeDocument/2006/relationships/hyperlink" Target="https://www.google.com/maps/place/44.301543894076N103.027850878613W" TargetMode="External"/><Relationship Id="rId69" Type="http://schemas.openxmlformats.org/officeDocument/2006/relationships/hyperlink" Target="https://www.google.com/maps/place/44.2608234078213N102.965514679282W" TargetMode="External"/><Relationship Id="rId80" Type="http://schemas.openxmlformats.org/officeDocument/2006/relationships/hyperlink" Target="https://www.google.com/maps/place/43.991443888455N102.985512434183W" TargetMode="External"/><Relationship Id="rId81" Type="http://schemas.openxmlformats.org/officeDocument/2006/relationships/hyperlink" Target="https://www.google.com/maps/place/43.9349967454782N102.916739985101W" TargetMode="External"/><Relationship Id="rId82" Type="http://schemas.openxmlformats.org/officeDocument/2006/relationships/hyperlink" Target="https://www.google.com/maps/place/43.8682161694485N102.88345091015W" TargetMode="External"/><Relationship Id="rId83" Type="http://schemas.openxmlformats.org/officeDocument/2006/relationships/hyperlink" Target="https://www.google.com/maps/place/43.8257846386844N102.843899459176W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09"/>
  <sheetViews>
    <sheetView showGridLines="0" tabSelected="1" zoomScale="125" zoomScaleNormal="184" zoomScalePageLayoutView="184" workbookViewId="0">
      <selection activeCell="E7" sqref="E7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8.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6" bestFit="1" customWidth="1"/>
    <col min="8" max="8" width="15.33203125" customWidth="1"/>
    <col min="9" max="9" width="19.5" style="21" customWidth="1"/>
    <col min="14" max="14" width="11.5" style="20"/>
    <col min="16" max="16" width="29.6640625" bestFit="1" customWidth="1"/>
    <col min="17" max="17" width="32.83203125" bestFit="1" customWidth="1"/>
  </cols>
  <sheetData>
    <row r="1" spans="1:16" x14ac:dyDescent="0.2">
      <c r="A1" s="60" t="s">
        <v>38</v>
      </c>
      <c r="B1" s="61"/>
      <c r="C1" s="61"/>
      <c r="D1" s="64"/>
      <c r="E1" s="62" t="s">
        <v>36</v>
      </c>
      <c r="F1" s="62"/>
      <c r="G1" s="63" t="s">
        <v>44</v>
      </c>
      <c r="H1" s="8"/>
      <c r="I1" s="22"/>
      <c r="J1" s="5"/>
    </row>
    <row r="2" spans="1:16" x14ac:dyDescent="0.2">
      <c r="A2" s="61"/>
      <c r="B2" s="61"/>
      <c r="C2" s="61"/>
      <c r="D2" s="64"/>
      <c r="E2" s="62"/>
      <c r="F2" s="62"/>
      <c r="G2" s="63"/>
      <c r="H2" s="8"/>
      <c r="I2" s="22"/>
      <c r="J2" s="39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64"/>
      <c r="E3" s="18" t="s">
        <v>42</v>
      </c>
      <c r="F3" s="11">
        <v>1699.01</v>
      </c>
      <c r="G3" s="63"/>
      <c r="I3" s="22"/>
      <c r="J3" s="39"/>
      <c r="K3" s="20"/>
      <c r="L3" s="20"/>
    </row>
    <row r="4" spans="1:16" x14ac:dyDescent="0.2">
      <c r="A4" s="9">
        <v>3</v>
      </c>
      <c r="B4" s="10">
        <v>29</v>
      </c>
      <c r="C4" s="11">
        <v>17</v>
      </c>
      <c r="D4" s="64"/>
      <c r="E4" s="18" t="s">
        <v>37</v>
      </c>
      <c r="F4" s="30">
        <v>1.5</v>
      </c>
      <c r="G4" s="63"/>
      <c r="I4" s="22"/>
      <c r="J4" s="39"/>
      <c r="K4" s="40"/>
      <c r="L4" s="20"/>
    </row>
    <row r="5" spans="1:16" x14ac:dyDescent="0.2">
      <c r="A5" s="34" t="s">
        <v>31</v>
      </c>
      <c r="B5" s="12">
        <v>44.075603999999998</v>
      </c>
      <c r="C5" s="11">
        <v>-103.28669600000001</v>
      </c>
      <c r="D5" s="64"/>
      <c r="E5" s="18" t="s">
        <v>40</v>
      </c>
      <c r="F5" s="11">
        <v>0.5</v>
      </c>
      <c r="G5" s="63"/>
      <c r="I5" s="22"/>
      <c r="J5" s="39"/>
      <c r="K5" s="20"/>
      <c r="L5" s="20"/>
    </row>
    <row r="6" spans="1:16" x14ac:dyDescent="0.2">
      <c r="A6" s="16" t="s">
        <v>66</v>
      </c>
      <c r="B6" s="12">
        <v>43.855400000000003</v>
      </c>
      <c r="C6" s="11">
        <v>-102.33969999999999</v>
      </c>
      <c r="D6" s="64"/>
      <c r="E6" s="19" t="str">
        <f>HYPERLINK("http://tools.highaltitudescience.com/","burst altitude")</f>
        <v>burst altitude</v>
      </c>
      <c r="F6" s="17">
        <v>37670</v>
      </c>
      <c r="G6" s="63"/>
      <c r="I6" s="22"/>
      <c r="J6" s="41"/>
      <c r="K6" s="40"/>
      <c r="L6" s="20"/>
    </row>
    <row r="7" spans="1:16" s="20" customFormat="1" x14ac:dyDescent="0.2">
      <c r="A7" s="16" t="s">
        <v>67</v>
      </c>
      <c r="B7" s="57">
        <v>43.647654000000003</v>
      </c>
      <c r="C7" s="58">
        <v>-102.763701</v>
      </c>
      <c r="D7" s="53"/>
      <c r="E7" s="68" t="s">
        <v>68</v>
      </c>
      <c r="F7" s="17">
        <v>3</v>
      </c>
      <c r="G7" s="55"/>
      <c r="I7" s="56"/>
      <c r="J7" s="41"/>
      <c r="K7" s="40"/>
    </row>
    <row r="8" spans="1:16" s="20" customFormat="1" x14ac:dyDescent="0.2">
      <c r="A8" s="52"/>
      <c r="B8" s="40"/>
      <c r="D8" s="53"/>
      <c r="E8" s="54"/>
      <c r="F8" s="41"/>
      <c r="G8" s="55"/>
      <c r="I8" s="56"/>
      <c r="J8" s="41"/>
      <c r="K8" s="40"/>
    </row>
    <row r="9" spans="1:16" x14ac:dyDescent="0.2">
      <c r="D9" s="5"/>
      <c r="J9" s="32"/>
      <c r="K9" s="32"/>
      <c r="L9" s="32"/>
      <c r="M9" s="21"/>
    </row>
    <row r="10" spans="1:16" s="29" customFormat="1" ht="20" x14ac:dyDescent="0.25">
      <c r="A10" s="26" t="s">
        <v>32</v>
      </c>
      <c r="B10" s="27" t="s">
        <v>45</v>
      </c>
      <c r="C10" s="27" t="s">
        <v>41</v>
      </c>
      <c r="D10" s="59" t="s">
        <v>39</v>
      </c>
      <c r="E10" s="59"/>
      <c r="F10" s="43" t="s">
        <v>43</v>
      </c>
      <c r="G10" s="37" t="s">
        <v>65</v>
      </c>
      <c r="H10" s="27" t="s">
        <v>64</v>
      </c>
      <c r="I10" s="44" t="s">
        <v>49</v>
      </c>
      <c r="J10" s="42"/>
      <c r="K10" s="42"/>
      <c r="L10" s="42"/>
      <c r="M10" s="31"/>
      <c r="N10" s="28"/>
    </row>
    <row r="11" spans="1:16" x14ac:dyDescent="0.2">
      <c r="A11" s="23" t="str">
        <f ca="1">MID(B11,3,2)&amp;"/"&amp;MID(B11,5,2)&amp;" at "&amp;MID(B11,8,2)&amp;":00"</f>
        <v>03/29 at 02:00</v>
      </c>
      <c r="B11" s="24" t="str">
        <f t="shared" ref="B11:B12" ca="1" si="0">INDIRECT("'[1 Bufkit Data Collector.xls]NAM_Buf'!I"&amp;5+(ROW()-9)*132)</f>
        <v>170329/0200</v>
      </c>
      <c r="C11" s="24">
        <v>295.95027356303694</v>
      </c>
      <c r="D11" s="24">
        <v>45.047412617961108</v>
      </c>
      <c r="E11" s="24">
        <v>-101.52971531162476</v>
      </c>
      <c r="F11" s="51" t="s">
        <v>28</v>
      </c>
      <c r="G11" s="38">
        <f ca="1">IF(A11=0,"--",0.621371*(1/1000)*ACOS( SIN($B$6*PI()/180)*SIN(D11*PI()/180) + COS($B$6*PI()/180)*COS(D11*PI()/180)*COS(E11*PI()/180-$C$6*PI()/180) ) * 6371000)</f>
        <v>91.53659153116412</v>
      </c>
      <c r="H11" s="48">
        <f ca="1">IF(B11=0,"--",0.621371*(1/1000)*ACOS( SIN($B$7*PI()/180)*SIN(D11*PI()/180) + COS($B$7*PI()/180)*COS(D11*PI()/180)*COS(E11*PI()/180-$C$7*PI()/180) ) * 6371000)</f>
        <v>114.32507101290402</v>
      </c>
      <c r="I11" s="48">
        <f ca="1">IF(B11=0,"--",0.621371*(1/1000)*ACOS( SIN($B$5*PI()/180)*SIN(D11*PI()/180) + COS($B$5*PI()/180)*COS(D11*PI()/180)*COS(E11*PI()/180-$C$5*PI()/180) ) * 6371000)</f>
        <v>109.49314335191751</v>
      </c>
      <c r="J11" s="21"/>
      <c r="K11" s="21"/>
      <c r="L11" s="21"/>
      <c r="M11" s="21"/>
      <c r="P11" s="7"/>
    </row>
    <row r="12" spans="1:16" x14ac:dyDescent="0.2">
      <c r="A12" s="23" t="str">
        <f ca="1">MID(B12,3,2)&amp;"/"&amp;MID(B12,5,2)&amp;" at "&amp;MID(B12,8,2)&amp;":00"</f>
        <v>03/29 at 03:00</v>
      </c>
      <c r="B12" s="24" t="str">
        <f t="shared" ca="1" si="0"/>
        <v>170329/0300</v>
      </c>
      <c r="C12" s="24">
        <v>295.74369931721571</v>
      </c>
      <c r="D12" s="24">
        <v>44.955094880081703</v>
      </c>
      <c r="E12" s="24">
        <v>-101.64122005806877</v>
      </c>
      <c r="F12" s="51" t="s">
        <v>28</v>
      </c>
      <c r="G12" s="38">
        <f t="shared" ref="G12:G61" ca="1" si="1">IF(A12=0,"--",0.621371*(1/1000)*ACOS( SIN($B$6*PI()/180)*SIN(D12*PI()/180) + COS($B$6*PI()/180)*COS(D12*PI()/180)*COS(E12*PI()/180-$C$6*PI()/180) ) * 6371000)</f>
        <v>83.437100778609036</v>
      </c>
      <c r="H12" s="48">
        <f t="shared" ref="H12:H75" ca="1" si="2">IF(B12=0,"--",0.621371*(1/1000)*ACOS( SIN($B$7*PI()/180)*SIN(D12*PI()/180) + COS($B$7*PI()/180)*COS(D12*PI()/180)*COS(E12*PI()/180-$C$7*PI()/180) ) * 6371000)</f>
        <v>106.02224713430078</v>
      </c>
      <c r="I12" s="48">
        <f t="shared" ref="I12:I75" ca="1" si="3">IF(B12=0,"--",0.621371*(1/1000)*ACOS( SIN($B$5*PI()/180)*SIN(D12*PI()/180) + COS($B$5*PI()/180)*COS(D12*PI()/180)*COS(E12*PI()/180-$C$5*PI()/180) ) * 6371000)</f>
        <v>101.3118361938195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ca="1">INDIRECT("'[1 Bufkit Data Collector.xls]NAM_Buf'!I"&amp;5+(ROW()-9)*132)</f>
        <v>170329/0400</v>
      </c>
      <c r="C13" s="24">
        <v>295.65082431773504</v>
      </c>
      <c r="D13" s="24">
        <v>44.989885859376784</v>
      </c>
      <c r="E13" s="24">
        <v>-101.67434494996876</v>
      </c>
      <c r="F13" s="51" t="s">
        <v>28</v>
      </c>
      <c r="G13" s="38">
        <f t="shared" ca="1" si="1"/>
        <v>84.983010309605518</v>
      </c>
      <c r="H13" s="48">
        <f t="shared" ca="1" si="2"/>
        <v>107.23776127961123</v>
      </c>
      <c r="I13" s="48">
        <f t="shared" ca="1" si="3"/>
        <v>101.47067811722334</v>
      </c>
      <c r="J13" s="21"/>
      <c r="K13" s="21"/>
      <c r="L13" s="21"/>
      <c r="M13" s="21"/>
      <c r="P13" s="7"/>
    </row>
    <row r="14" spans="1:16" x14ac:dyDescent="0.2">
      <c r="A14" s="23" t="str">
        <f t="shared" ref="A14:A18" ca="1" si="4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295.36251297890971</v>
      </c>
      <c r="D14" s="24">
        <v>44.976630064633433</v>
      </c>
      <c r="E14" s="24">
        <v>-101.6949887980068</v>
      </c>
      <c r="F14" s="51" t="s">
        <v>28</v>
      </c>
      <c r="G14" s="38">
        <f ca="1">IF(B14=0,"--",0.621371*(1/1000)*ACOS( SIN($B$6*PI()/180)*SIN(D14*PI()/180) + COS($B$6*PI()/180)*COS(D14*PI()/180)*COS(E14*PI()/180-$C$6*PI()/180) ) * 6371000)</f>
        <v>83.748151548270329</v>
      </c>
      <c r="H14" s="48">
        <f t="shared" ca="1" si="2"/>
        <v>105.93721239470256</v>
      </c>
      <c r="I14" s="48">
        <f t="shared" ca="1" si="3"/>
        <v>100.11195215628268</v>
      </c>
      <c r="J14" s="21"/>
      <c r="K14" s="21"/>
      <c r="L14" s="21"/>
      <c r="M14" s="21"/>
      <c r="P14" s="7"/>
    </row>
    <row r="15" spans="1:16" x14ac:dyDescent="0.2">
      <c r="A15" s="23" t="str">
        <f t="shared" ca="1" si="4"/>
        <v>03/29 at 06:00</v>
      </c>
      <c r="B15" s="24" t="str">
        <f ca="1">INDIRECT("'[1 Bufkit Data Collector.xls]NAM_Buf'!I"&amp;5+(ROW()-9)*132)</f>
        <v>170329/0600</v>
      </c>
      <c r="C15" s="24">
        <v>294.96028314683844</v>
      </c>
      <c r="D15" s="24">
        <v>44.939996449830062</v>
      </c>
      <c r="E15" s="24">
        <v>-101.6067399274264</v>
      </c>
      <c r="F15" s="51" t="s">
        <v>28</v>
      </c>
      <c r="G15" s="38">
        <f t="shared" ref="G15:G78" ca="1" si="5">IF(B15=0,"--",0.621371*(1/1000)*ACOS( SIN($B$6*PI()/180)*SIN(D15*PI()/180) + COS($B$6*PI()/180)*COS(D15*PI()/180)*COS(E15*PI()/180-$C$6*PI()/180) ) * 6371000)</f>
        <v>83.215938985060745</v>
      </c>
      <c r="H15" s="48">
        <f t="shared" ca="1" si="2"/>
        <v>106.04868058697323</v>
      </c>
      <c r="I15" s="48">
        <f t="shared" ca="1" si="3"/>
        <v>102.07087977718179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t="shared" ref="B16:B21" ca="1" si="6">INDIRECT("'[1 Bufkit Data Collector.xls]NAM_Buf'!I"&amp;5+(ROW()-9)*132)</f>
        <v>170329/0700</v>
      </c>
      <c r="C16" s="24">
        <v>294.77963500115004</v>
      </c>
      <c r="D16" s="24">
        <v>44.951133318308727</v>
      </c>
      <c r="E16" s="24">
        <v>-101.64946352438626</v>
      </c>
      <c r="F16" s="51" t="s">
        <v>28</v>
      </c>
      <c r="G16" s="38">
        <f t="shared" ca="1" si="5"/>
        <v>83.020602560516636</v>
      </c>
      <c r="H16" s="48">
        <f t="shared" ca="1" si="2"/>
        <v>105.57685149699287</v>
      </c>
      <c r="I16" s="48">
        <f t="shared" ca="1" si="3"/>
        <v>100.82493700367321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ca="1" si="6"/>
        <v>170329/0800</v>
      </c>
      <c r="C17" s="24">
        <v>294.76652295360867</v>
      </c>
      <c r="D17" s="24">
        <v>45.005127371290406</v>
      </c>
      <c r="E17" s="24">
        <v>-101.64927065385326</v>
      </c>
      <c r="F17" s="51" t="s">
        <v>28</v>
      </c>
      <c r="G17" s="38">
        <f t="shared" ca="1" si="5"/>
        <v>86.43365241021263</v>
      </c>
      <c r="H17" s="48">
        <f t="shared" ca="1" si="2"/>
        <v>108.76845801056675</v>
      </c>
      <c r="I17" s="48">
        <f t="shared" ca="1" si="3"/>
        <v>103.08433680201891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6"/>
        <v>170329/0900</v>
      </c>
      <c r="C18" s="24">
        <v>294.62294645298658</v>
      </c>
      <c r="D18" s="24">
        <v>45.021682411162182</v>
      </c>
      <c r="E18" s="24">
        <v>-101.46108009935651</v>
      </c>
      <c r="F18" s="51" t="s">
        <v>28</v>
      </c>
      <c r="G18" s="38">
        <f t="shared" ca="1" si="5"/>
        <v>91.498653398899549</v>
      </c>
      <c r="H18" s="48">
        <f t="shared" ca="1" si="2"/>
        <v>114.70087121538936</v>
      </c>
      <c r="I18" s="48">
        <f t="shared" ca="1" si="3"/>
        <v>111.14220969494679</v>
      </c>
      <c r="J18" s="21"/>
      <c r="K18" s="21"/>
      <c r="L18" s="21"/>
      <c r="M18" s="21"/>
      <c r="P18" s="7"/>
    </row>
    <row r="19" spans="1:16" x14ac:dyDescent="0.2">
      <c r="A19" s="23" t="str">
        <f ca="1">MID(B19,3,2)&amp;"/"&amp;MID(B19,5,2)&amp;" at "&amp;MID(B19,8,2)&amp;":00"</f>
        <v>03/29 at 10:00</v>
      </c>
      <c r="B19" s="24" t="str">
        <f t="shared" ca="1" si="6"/>
        <v>170329/1000</v>
      </c>
      <c r="C19" s="24">
        <v>294.68999614724987</v>
      </c>
      <c r="D19" s="24">
        <v>44.96879600336537</v>
      </c>
      <c r="E19" s="24">
        <v>-101.34316846823017</v>
      </c>
      <c r="F19" s="51" t="s">
        <v>28</v>
      </c>
      <c r="G19" s="38">
        <f t="shared" ca="1" si="5"/>
        <v>91.305411332321043</v>
      </c>
      <c r="H19" s="48">
        <f t="shared" ca="1" si="2"/>
        <v>115.17112564071998</v>
      </c>
      <c r="I19" s="48">
        <f t="shared" ca="1" si="3"/>
        <v>113.90335291864371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6"/>
        <v>170329/1100</v>
      </c>
      <c r="C20" s="24">
        <v>294.68168155389719</v>
      </c>
      <c r="D20" s="24">
        <v>44.911011011912436</v>
      </c>
      <c r="E20" s="24">
        <v>-101.35834589064021</v>
      </c>
      <c r="F20" s="51" t="s">
        <v>28</v>
      </c>
      <c r="G20" s="38">
        <f t="shared" ca="1" si="5"/>
        <v>87.564670414649683</v>
      </c>
      <c r="H20" s="48">
        <f t="shared" ca="1" si="2"/>
        <v>111.58598172807591</v>
      </c>
      <c r="I20" s="48">
        <f t="shared" ca="1" si="3"/>
        <v>111.1916396718353</v>
      </c>
      <c r="J20" s="21"/>
      <c r="K20" s="21"/>
      <c r="L20" s="21"/>
      <c r="M20" s="21"/>
      <c r="P20" s="7"/>
    </row>
    <row r="21" spans="1:16" x14ac:dyDescent="0.2">
      <c r="A21" s="23" t="str">
        <f t="shared" ref="A21:A24" ca="1" si="7">MID(B21,3,2)&amp;"/"&amp;MID(B21,5,2)&amp;" at "&amp;MID(B21,8,2)&amp;":00"</f>
        <v>03/29 at 12:00</v>
      </c>
      <c r="B21" s="24" t="str">
        <f t="shared" ca="1" si="6"/>
        <v>170329/1200</v>
      </c>
      <c r="C21" s="24">
        <v>294.61467158820972</v>
      </c>
      <c r="D21" s="24">
        <v>44.84607986579767</v>
      </c>
      <c r="E21" s="24">
        <v>-101.33131049692565</v>
      </c>
      <c r="F21" s="51" t="s">
        <v>28</v>
      </c>
      <c r="G21" s="38">
        <f t="shared" ca="1" si="5"/>
        <v>84.659353440911673</v>
      </c>
      <c r="H21" s="48">
        <f t="shared" ca="1" si="2"/>
        <v>109.0030411747091</v>
      </c>
      <c r="I21" s="48">
        <f t="shared" ca="1" si="3"/>
        <v>110.14196373727485</v>
      </c>
      <c r="J21" s="21"/>
      <c r="K21" s="21"/>
      <c r="L21" s="21"/>
      <c r="M21" s="21"/>
      <c r="P21" s="7"/>
    </row>
    <row r="22" spans="1:16" x14ac:dyDescent="0.2">
      <c r="A22" s="23" t="str">
        <f t="shared" ca="1" si="7"/>
        <v>03/29 at 13:00</v>
      </c>
      <c r="B22" s="24" t="str">
        <f ca="1">INDIRECT("'[1 Bufkit Data Collector.xls]NAM_Buf'!I"&amp;5+(ROW()-9)*132)</f>
        <v>170329/1300</v>
      </c>
      <c r="C22" s="24">
        <v>294.67221083586804</v>
      </c>
      <c r="D22" s="24">
        <v>44.770498254137841</v>
      </c>
      <c r="E22" s="24">
        <v>-101.33131767838799</v>
      </c>
      <c r="F22" s="51" t="s">
        <v>28</v>
      </c>
      <c r="G22" s="38">
        <f t="shared" ca="1" si="5"/>
        <v>80.515638548814792</v>
      </c>
      <c r="H22" s="48">
        <f t="shared" ca="1" si="2"/>
        <v>105.12184036614238</v>
      </c>
      <c r="I22" s="48">
        <f t="shared" ca="1" si="3"/>
        <v>107.7710120120466</v>
      </c>
      <c r="J22" s="21"/>
      <c r="K22" s="21"/>
      <c r="L22" s="21"/>
      <c r="M22" s="21"/>
      <c r="P22" s="7"/>
    </row>
    <row r="23" spans="1:16" x14ac:dyDescent="0.2">
      <c r="A23" s="23" t="str">
        <f t="shared" ca="1" si="7"/>
        <v>03/29 at 14:00</v>
      </c>
      <c r="B23" s="24" t="str">
        <f ca="1">INDIRECT("'[1 Bufkit Data Collector.xls]NAM_Buf'!I"&amp;5+(ROW()-9)*132)</f>
        <v>170329/1400</v>
      </c>
      <c r="C23" s="24">
        <v>294.69083536827844</v>
      </c>
      <c r="D23" s="24">
        <v>44.692095201861115</v>
      </c>
      <c r="E23" s="24">
        <v>-101.32514956616386</v>
      </c>
      <c r="F23" s="51" t="s">
        <v>28</v>
      </c>
      <c r="G23" s="38">
        <f t="shared" ca="1" si="5"/>
        <v>76.557061944520228</v>
      </c>
      <c r="H23" s="48">
        <f t="shared" ca="1" si="2"/>
        <v>101.43807566339336</v>
      </c>
      <c r="I23" s="48">
        <f t="shared" ca="1" si="3"/>
        <v>105.80755096630131</v>
      </c>
      <c r="J23" s="21"/>
      <c r="K23" s="21"/>
      <c r="L23" s="21"/>
      <c r="M23" s="21"/>
      <c r="P23" s="7"/>
    </row>
    <row r="24" spans="1:16" x14ac:dyDescent="0.2">
      <c r="A24" s="23" t="str">
        <f t="shared" ca="1" si="7"/>
        <v>03/29 at 15:00</v>
      </c>
      <c r="B24" s="24" t="str">
        <f ca="1">INDIRECT("'[1 Bufkit Data Collector.xls]NAM_Buf'!I"&amp;5+(ROW()-9)*132)</f>
        <v>170329/1500</v>
      </c>
      <c r="C24" s="24">
        <v>295.05588659785417</v>
      </c>
      <c r="D24" s="24">
        <v>44.589653545496553</v>
      </c>
      <c r="E24" s="24">
        <v>-101.44934519324914</v>
      </c>
      <c r="F24" s="51" t="s">
        <v>28</v>
      </c>
      <c r="G24" s="38">
        <f t="shared" ca="1" si="5"/>
        <v>67.20986336332065</v>
      </c>
      <c r="H24" s="48">
        <f t="shared" ca="1" si="2"/>
        <v>92.119863603832158</v>
      </c>
      <c r="I24" s="48">
        <f t="shared" ca="1" si="3"/>
        <v>97.501807493714125</v>
      </c>
      <c r="J24" s="21"/>
      <c r="K24" s="21"/>
      <c r="L24" s="21"/>
      <c r="M24" s="21"/>
      <c r="P24" s="7"/>
    </row>
    <row r="25" spans="1:16" x14ac:dyDescent="0.2">
      <c r="A25" s="23" t="str">
        <f ca="1">MID(B25,3,2)&amp;"/"&amp;MID(B25,5,2)&amp;" at "&amp;MID(B25,8,2)&amp;":00"</f>
        <v>03/29 at 16:00</v>
      </c>
      <c r="B25" s="24" t="str">
        <f ca="1">INDIRECT("'[1 Bufkit Data Collector.xls]NAM_Buf'!I"&amp;5+(ROW()-9)*132)</f>
        <v>170329/1600</v>
      </c>
      <c r="C25" s="24">
        <v>295.49633037291534</v>
      </c>
      <c r="D25" s="24">
        <v>44.497290615231535</v>
      </c>
      <c r="E25" s="24">
        <v>-101.58657826997107</v>
      </c>
      <c r="F25" s="51" t="s">
        <v>28</v>
      </c>
      <c r="G25" s="38">
        <f t="shared" ca="1" si="5"/>
        <v>57.962591194932223</v>
      </c>
      <c r="H25" s="48">
        <f t="shared" ca="1" si="2"/>
        <v>82.827172453480586</v>
      </c>
      <c r="I25" s="48">
        <f t="shared" ca="1" si="3"/>
        <v>88.991902120280201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296.89131006581096</v>
      </c>
      <c r="D26" s="24">
        <v>44.402963089125649</v>
      </c>
      <c r="E26" s="24">
        <v>-101.64851995563222</v>
      </c>
      <c r="F26" s="51" t="s">
        <v>28</v>
      </c>
      <c r="G26" s="38">
        <f t="shared" ca="1" si="5"/>
        <v>51.051553450212822</v>
      </c>
      <c r="H26" s="48">
        <f t="shared" ca="1" si="2"/>
        <v>76.109746150296488</v>
      </c>
      <c r="I26" s="48">
        <f t="shared" ca="1" si="3"/>
        <v>84.184470193619106</v>
      </c>
      <c r="J26" s="21"/>
      <c r="K26" s="21"/>
      <c r="L26" s="21"/>
      <c r="M26" s="21"/>
      <c r="P26" s="7"/>
    </row>
    <row r="27" spans="1:16" x14ac:dyDescent="0.2">
      <c r="A27" s="23" t="str">
        <f t="shared" ref="A27:A28" ca="1" si="8">MID(B27,3,2)&amp;"/"&amp;MID(B27,5,2)&amp;" at "&amp;MID(B27,8,2)&amp;":00"</f>
        <v>03/29 at 18:00</v>
      </c>
      <c r="B27" s="24" t="str">
        <f t="shared" ref="B27:B28" ca="1" si="9">INDIRECT("'[1 Bufkit Data Collector.xls]NAM_Buf'!I"&amp;5+(ROW()-9)*132)</f>
        <v>170329/1800</v>
      </c>
      <c r="C27" s="24">
        <v>298.72952535403391</v>
      </c>
      <c r="D27" s="24">
        <v>44.260595529876944</v>
      </c>
      <c r="E27" s="24">
        <v>-101.75608598484382</v>
      </c>
      <c r="F27" s="51" t="s">
        <v>28</v>
      </c>
      <c r="G27" s="38">
        <f ca="1">IF(B27=0,"--",0.621371*(1/1000)*ACOS( SIN($B$6*PI()/180)*SIN(D27*PI()/180) + COS($B$6*PI()/180)*COS(D27*PI()/180)*COS(E27*PI()/180-$C$6*PI()/180) ) * 6371000)</f>
        <v>40.292797590682277</v>
      </c>
      <c r="H27" s="48">
        <f t="shared" ca="1" si="2"/>
        <v>65.614803376645611</v>
      </c>
      <c r="I27" s="48">
        <f t="shared" ca="1" si="3"/>
        <v>76.92593236994955</v>
      </c>
      <c r="J27" s="21"/>
      <c r="K27" s="21"/>
      <c r="L27" s="21"/>
      <c r="M27" s="21"/>
      <c r="P27" s="7"/>
    </row>
    <row r="28" spans="1:16" x14ac:dyDescent="0.2">
      <c r="A28" s="23" t="str">
        <f t="shared" ca="1" si="8"/>
        <v>03/29 at 19:00</v>
      </c>
      <c r="B28" s="24" t="str">
        <f t="shared" ca="1" si="9"/>
        <v>170329/1900</v>
      </c>
      <c r="C28" s="24">
        <v>299.82815262927795</v>
      </c>
      <c r="D28" s="24">
        <v>44.126606155446986</v>
      </c>
      <c r="E28" s="24">
        <v>-101.78896172213248</v>
      </c>
      <c r="F28" s="51" t="s">
        <v>28</v>
      </c>
      <c r="G28" s="38">
        <f t="shared" ca="1" si="5"/>
        <v>33.175416533896701</v>
      </c>
      <c r="H28" s="48">
        <f t="shared" ca="1" si="2"/>
        <v>58.745019229754668</v>
      </c>
      <c r="I28" s="48">
        <f t="shared" ca="1" si="3"/>
        <v>74.395239494149635</v>
      </c>
      <c r="J28" s="21"/>
      <c r="K28" s="21"/>
      <c r="L28" s="21"/>
      <c r="M28" s="21"/>
      <c r="P28" s="7"/>
    </row>
    <row r="29" spans="1:16" x14ac:dyDescent="0.2">
      <c r="A29" s="23" t="str">
        <f ca="1">MID(B29,3,2)&amp;"/"&amp;MID(B29,5,2)&amp;" at "&amp;MID(B29,8,2)&amp;":00"</f>
        <v>03/29 at 20:00</v>
      </c>
      <c r="B29" s="24" t="str">
        <f ca="1">INDIRECT("'[1 Bufkit Data Collector.xls]NAM_Buf'!I"&amp;5+(ROW()-9)*132)</f>
        <v>170329/2000</v>
      </c>
      <c r="C29" s="24">
        <v>300.6760366057029</v>
      </c>
      <c r="D29" s="24">
        <v>43.984020336855885</v>
      </c>
      <c r="E29" s="24">
        <v>-101.8009472599141</v>
      </c>
      <c r="F29" s="51" t="s">
        <v>28</v>
      </c>
      <c r="G29" s="38">
        <f t="shared" ca="1" si="5"/>
        <v>28.247334405875502</v>
      </c>
      <c r="H29" s="48">
        <f t="shared" ca="1" si="2"/>
        <v>53.328671875819829</v>
      </c>
      <c r="I29" s="48">
        <f t="shared" ca="1" si="3"/>
        <v>74.076654994727861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301.68666764088044</v>
      </c>
      <c r="D30" s="24">
        <v>43.936251427455119</v>
      </c>
      <c r="E30" s="24">
        <v>-101.69561303332004</v>
      </c>
      <c r="F30" s="51" t="s">
        <v>28</v>
      </c>
      <c r="G30" s="38">
        <f t="shared" ca="1" si="5"/>
        <v>32.551122286080989</v>
      </c>
      <c r="H30" s="48">
        <f t="shared" ca="1" si="2"/>
        <v>56.880520480914683</v>
      </c>
      <c r="I30" s="48">
        <f t="shared" ca="1" si="3"/>
        <v>79.654169672982377</v>
      </c>
      <c r="J30" s="21"/>
      <c r="K30" s="21"/>
      <c r="L30" s="21"/>
      <c r="M30" s="21"/>
      <c r="P30" s="7"/>
    </row>
    <row r="31" spans="1:16" x14ac:dyDescent="0.2">
      <c r="A31" s="23" t="str">
        <f t="shared" ref="A31:A34" ca="1" si="10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302.70426827540479</v>
      </c>
      <c r="D31" s="24">
        <v>43.824542195648498</v>
      </c>
      <c r="E31" s="24">
        <v>-101.58711259288641</v>
      </c>
      <c r="F31" s="51" t="s">
        <v>28</v>
      </c>
      <c r="G31" s="38">
        <f t="shared" ca="1" si="5"/>
        <v>37.565933075041926</v>
      </c>
      <c r="H31" s="48">
        <f t="shared" ca="1" si="2"/>
        <v>59.995244065579136</v>
      </c>
      <c r="I31" s="48">
        <f t="shared" ca="1" si="3"/>
        <v>86.302554629204749</v>
      </c>
      <c r="J31" s="21"/>
      <c r="K31" s="21"/>
      <c r="L31" s="21"/>
      <c r="M31" s="21"/>
      <c r="P31" s="7"/>
    </row>
    <row r="32" spans="1:16" x14ac:dyDescent="0.2">
      <c r="A32" s="23" t="str">
        <f t="shared" ca="1" si="10"/>
        <v>03/29 at 23:00</v>
      </c>
      <c r="B32" s="24" t="str">
        <f ca="1">INDIRECT("'[1 Bufkit Data Collector.xls]NAM_Buf'!I"&amp;5+(ROW()-9)*132)</f>
        <v>170329/2300</v>
      </c>
      <c r="C32" s="24">
        <v>303.23507584934441</v>
      </c>
      <c r="D32" s="24">
        <v>43.625303093358291</v>
      </c>
      <c r="E32" s="24">
        <v>-101.59531898582578</v>
      </c>
      <c r="F32" s="51" t="s">
        <v>28</v>
      </c>
      <c r="G32" s="38">
        <f t="shared" ca="1" si="5"/>
        <v>40.416379538265765</v>
      </c>
      <c r="H32" s="48">
        <f t="shared" ca="1" si="2"/>
        <v>58.444958060369061</v>
      </c>
      <c r="I32" s="48">
        <f t="shared" ca="1" si="3"/>
        <v>89.83323276562956</v>
      </c>
      <c r="J32" s="21"/>
      <c r="K32" s="21"/>
      <c r="L32" s="21"/>
      <c r="M32" s="21"/>
      <c r="P32" s="7"/>
    </row>
    <row r="33" spans="1:16" x14ac:dyDescent="0.2">
      <c r="A33" s="23" t="str">
        <f t="shared" ca="1" si="10"/>
        <v>03/30 at 00:00</v>
      </c>
      <c r="B33" s="24" t="str">
        <f ca="1">INDIRECT("'[1 Bufkit Data Collector.xls]NAM_Buf'!I"&amp;5+(ROW()-9)*132)</f>
        <v>170330/0000</v>
      </c>
      <c r="C33" s="24">
        <v>303.05975926179229</v>
      </c>
      <c r="D33" s="24">
        <v>43.585468392168913</v>
      </c>
      <c r="E33" s="24">
        <v>-101.57019831211184</v>
      </c>
      <c r="F33" s="51" t="s">
        <v>28</v>
      </c>
      <c r="G33" s="38">
        <f t="shared" ca="1" si="5"/>
        <v>42.711992457116267</v>
      </c>
      <c r="H33" s="48">
        <f ca="1">IF(B33=0,"--",0.621371*(1/1000)*ACOS( SIN($B$7*PI()/180)*SIN(D33*PI()/180) + COS($B$7*PI()/180)*COS(D33*PI()/180)*COS(E33*PI()/180-$C$7*PI()/180) ) * 6371000)</f>
        <v>59.854863018265988</v>
      </c>
      <c r="I33" s="48">
        <f t="shared" ca="1" si="3"/>
        <v>92.012109011728526</v>
      </c>
      <c r="J33" s="21"/>
      <c r="K33" s="21"/>
      <c r="L33" s="21"/>
      <c r="M33" s="21"/>
      <c r="P33" s="7"/>
    </row>
    <row r="34" spans="1:16" x14ac:dyDescent="0.2">
      <c r="A34" s="23" t="str">
        <f t="shared" ca="1" si="10"/>
        <v>03/30 at 01:00</v>
      </c>
      <c r="B34" s="24" t="str">
        <f t="shared" ref="B34:B35" ca="1" si="11">INDIRECT("'[1 Bufkit Data Collector.xls]NAM_Buf'!I"&amp;5+(ROW()-9)*132)</f>
        <v>170330/0100</v>
      </c>
      <c r="C34" s="24">
        <v>302.09339295803699</v>
      </c>
      <c r="D34" s="24">
        <v>43.483676464318648</v>
      </c>
      <c r="E34" s="24">
        <v>-101.58613945807799</v>
      </c>
      <c r="F34" s="51" t="s">
        <v>28</v>
      </c>
      <c r="G34" s="38">
        <f t="shared" ca="1" si="5"/>
        <v>45.584855674237311</v>
      </c>
      <c r="H34" s="48">
        <f t="shared" ca="1" si="2"/>
        <v>60.031661269788891</v>
      </c>
      <c r="I34" s="48">
        <f t="shared" ca="1" si="3"/>
        <v>94.174901774450646</v>
      </c>
      <c r="J34" s="21"/>
      <c r="K34" s="21"/>
      <c r="L34" s="21"/>
      <c r="M34" s="21"/>
      <c r="P34" s="7"/>
    </row>
    <row r="35" spans="1:16" x14ac:dyDescent="0.2">
      <c r="A35" s="23" t="str">
        <f ca="1">MID(B35,3,2)&amp;"/"&amp;MID(B35,5,2)&amp;" at "&amp;MID(B35,8,2)&amp;":00"</f>
        <v>03/30 at 02:00</v>
      </c>
      <c r="B35" s="24" t="str">
        <f t="shared" ca="1" si="11"/>
        <v>170330/0200</v>
      </c>
      <c r="C35" s="24">
        <v>300.06103730796559</v>
      </c>
      <c r="D35" s="24">
        <v>43.408830818953795</v>
      </c>
      <c r="E35" s="24">
        <v>-101.68189906934893</v>
      </c>
      <c r="F35" s="51" t="s">
        <v>28</v>
      </c>
      <c r="G35" s="38">
        <f t="shared" ca="1" si="5"/>
        <v>45.101367026722087</v>
      </c>
      <c r="H35" s="48">
        <f t="shared" ca="1" si="2"/>
        <v>56.648942244881454</v>
      </c>
      <c r="I35" s="48">
        <f t="shared" ca="1" si="3"/>
        <v>92.406752836929343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ca="1">INDIRECT("'[1 Bufkit Data Collector.xls]NAM_Buf'!I"&amp;5+(ROW()-9)*132)</f>
        <v>170330/0300</v>
      </c>
      <c r="C36" s="24">
        <v>300.14234139270224</v>
      </c>
      <c r="D36" s="24">
        <v>43.42330172102367</v>
      </c>
      <c r="E36" s="24">
        <v>-101.69262129929876</v>
      </c>
      <c r="F36" s="51" t="s">
        <v>28</v>
      </c>
      <c r="G36" s="38">
        <f t="shared" ca="1" si="5"/>
        <v>44.024910468003753</v>
      </c>
      <c r="H36" s="48">
        <f t="shared" ca="1" si="2"/>
        <v>55.843437809156299</v>
      </c>
      <c r="I36" s="48">
        <f t="shared" ca="1" si="3"/>
        <v>91.438010931590256</v>
      </c>
      <c r="J36" s="21"/>
      <c r="K36" s="21"/>
      <c r="L36" s="21"/>
      <c r="M36" s="21"/>
      <c r="P36" s="7"/>
    </row>
    <row r="37" spans="1:16" x14ac:dyDescent="0.2">
      <c r="A37" s="23" t="str">
        <f t="shared" ref="A37:A40" ca="1" si="12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299.69861341420466</v>
      </c>
      <c r="D37" s="24">
        <v>43.418873791853962</v>
      </c>
      <c r="E37" s="24">
        <v>-101.82982556246377</v>
      </c>
      <c r="F37" s="51" t="s">
        <v>28</v>
      </c>
      <c r="G37" s="38">
        <f t="shared" ca="1" si="5"/>
        <v>39.493316956170169</v>
      </c>
      <c r="H37" s="48">
        <f t="shared" ca="1" si="2"/>
        <v>49.376872065533419</v>
      </c>
      <c r="I37" s="48">
        <f t="shared" ca="1" si="3"/>
        <v>85.710484242649031</v>
      </c>
      <c r="J37" s="21"/>
      <c r="K37" s="21"/>
      <c r="L37" s="21"/>
      <c r="M37" s="21"/>
      <c r="P37" s="7"/>
    </row>
    <row r="38" spans="1:16" x14ac:dyDescent="0.2">
      <c r="A38" s="23" t="str">
        <f t="shared" ca="1" si="12"/>
        <v>03/30 at 05:00</v>
      </c>
      <c r="B38" s="24" t="str">
        <f ca="1">INDIRECT("'[1 Bufkit Data Collector.xls]NAM_Buf'!I"&amp;5+(ROW()-9)*132)</f>
        <v>170330/0500</v>
      </c>
      <c r="C38" s="24">
        <v>298.45048670859472</v>
      </c>
      <c r="D38" s="24">
        <v>43.502898747093447</v>
      </c>
      <c r="E38" s="24">
        <v>-101.84063541212072</v>
      </c>
      <c r="F38" s="51" t="s">
        <v>28</v>
      </c>
      <c r="G38" s="38">
        <f t="shared" ca="1" si="5"/>
        <v>34.85807843738408</v>
      </c>
      <c r="H38" s="48">
        <f t="shared" ca="1" si="2"/>
        <v>47.274771211232554</v>
      </c>
      <c r="I38" s="48">
        <f ca="1">IF(B38=0,"--",0.621371*(1/1000)*ACOS( SIN($B$5*PI()/180)*SIN(D38*PI()/180) + COS($B$5*PI()/180)*COS(D38*PI()/180)*COS(E38*PI()/180-$C$5*PI()/180) ) * 6371000)</f>
        <v>82.266015075095439</v>
      </c>
      <c r="J38" s="21"/>
      <c r="K38" s="21"/>
      <c r="L38" s="21"/>
      <c r="M38" s="21"/>
      <c r="P38" s="7"/>
    </row>
    <row r="39" spans="1:16" x14ac:dyDescent="0.2">
      <c r="A39" s="23" t="str">
        <f t="shared" ca="1" si="12"/>
        <v>03/30 at 06:00</v>
      </c>
      <c r="B39" s="24" t="str">
        <f ca="1">INDIRECT("'[1 Bufkit Data Collector.xls]NAM_Buf'!I"&amp;5+(ROW()-9)*132)</f>
        <v>170330/0600</v>
      </c>
      <c r="C39" s="24">
        <v>297.35105692380114</v>
      </c>
      <c r="D39" s="24">
        <v>43.589316527524296</v>
      </c>
      <c r="E39" s="24">
        <v>-101.87601451048913</v>
      </c>
      <c r="F39" s="51" t="s">
        <v>28</v>
      </c>
      <c r="G39" s="38">
        <f ca="1">IF(B39=0,"--",0.621371*(1/1000)*ACOS( SIN($B$6*PI()/180)*SIN(D39*PI()/180) + COS($B$6*PI()/180)*COS(D39*PI()/180)*COS(E39*PI()/180-$C$6*PI()/180) ) * 6371000)</f>
        <v>29.564691182330595</v>
      </c>
      <c r="H39" s="48">
        <f t="shared" ca="1" si="2"/>
        <v>44.584480432620474</v>
      </c>
      <c r="I39" s="48">
        <f t="shared" ca="1" si="3"/>
        <v>77.924823113836368</v>
      </c>
      <c r="J39" s="21"/>
      <c r="K39" s="21"/>
      <c r="L39" s="21"/>
      <c r="M39" s="21"/>
      <c r="P39" s="7"/>
    </row>
    <row r="40" spans="1:16" x14ac:dyDescent="0.2">
      <c r="A40" s="23" t="str">
        <f t="shared" ca="1" si="12"/>
        <v>03/30 at 07:00</v>
      </c>
      <c r="B40" s="24" t="str">
        <f ca="1">INDIRECT("'[1 Bufkit Data Collector.xls]NAM_Buf'!I"&amp;5+(ROW()-9)*132)</f>
        <v>170330/0700</v>
      </c>
      <c r="C40" s="24">
        <v>296.35722607665525</v>
      </c>
      <c r="D40" s="24">
        <v>43.676238908025532</v>
      </c>
      <c r="E40" s="24">
        <v>-101.88543663714184</v>
      </c>
      <c r="F40" s="51" t="s">
        <v>28</v>
      </c>
      <c r="G40" s="38">
        <f t="shared" ca="1" si="5"/>
        <v>25.826418702500721</v>
      </c>
      <c r="H40" s="48">
        <f t="shared" ca="1" si="2"/>
        <v>43.943260750237393</v>
      </c>
      <c r="I40" s="48">
        <f t="shared" ca="1" si="3"/>
        <v>75.045908777237941</v>
      </c>
      <c r="J40" s="21"/>
      <c r="K40" s="21"/>
      <c r="L40" s="21"/>
      <c r="M40" s="21"/>
      <c r="P40" s="7"/>
    </row>
    <row r="41" spans="1:16" x14ac:dyDescent="0.2">
      <c r="A41" s="23" t="str">
        <f ca="1">MID(B41,3,2)&amp;"/"&amp;MID(B41,5,2)&amp;" at "&amp;MID(B41,8,2)&amp;":00"</f>
        <v>03/30 at 08:00</v>
      </c>
      <c r="B41" s="24" t="str">
        <f t="shared" ref="B41:B43" ca="1" si="13">INDIRECT("'[1 Bufkit Data Collector.xls]NAM_Buf'!I"&amp;5+(ROW()-9)*132)</f>
        <v>170330/0800</v>
      </c>
      <c r="C41" s="24">
        <v>295.68715273740139</v>
      </c>
      <c r="D41" s="24">
        <v>43.758013988063823</v>
      </c>
      <c r="E41" s="24">
        <v>-101.88200166383264</v>
      </c>
      <c r="F41" s="51" t="s">
        <v>28</v>
      </c>
      <c r="G41" s="38">
        <f t="shared" ca="1" si="5"/>
        <v>23.793516477300788</v>
      </c>
      <c r="H41" s="48">
        <f t="shared" ca="1" si="2"/>
        <v>44.695726891315019</v>
      </c>
      <c r="I41" s="48">
        <f t="shared" ca="1" si="3"/>
        <v>73.274945379258426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ca="1" si="13"/>
        <v>170330/0900</v>
      </c>
      <c r="C42" s="24">
        <v>295.12913813718961</v>
      </c>
      <c r="D42" s="24">
        <v>43.838336086647409</v>
      </c>
      <c r="E42" s="24">
        <v>-101.86878151473273</v>
      </c>
      <c r="F42" s="51" t="s">
        <v>28</v>
      </c>
      <c r="G42" s="38">
        <f t="shared" ca="1" si="5"/>
        <v>23.495277169440904</v>
      </c>
      <c r="H42" s="48">
        <f t="shared" ca="1" si="2"/>
        <v>46.573159627920873</v>
      </c>
      <c r="I42" s="48">
        <f t="shared" ca="1" si="3"/>
        <v>72.402953508654008</v>
      </c>
      <c r="J42" s="21"/>
      <c r="K42" s="21"/>
      <c r="L42" s="21"/>
      <c r="M42" s="21"/>
      <c r="P42" s="7"/>
    </row>
    <row r="43" spans="1:16" x14ac:dyDescent="0.2">
      <c r="A43" s="23" t="str">
        <f t="shared" ref="A43:A47" ca="1" si="14">MID(B43,3,2)&amp;"/"&amp;MID(B43,5,2)&amp;" at "&amp;MID(B43,8,2)&amp;":00"</f>
        <v>03/30 at 10:00</v>
      </c>
      <c r="B43" s="24" t="str">
        <f t="shared" ca="1" si="13"/>
        <v>170330/1000</v>
      </c>
      <c r="C43" s="24">
        <v>294.70463611422821</v>
      </c>
      <c r="D43" s="24">
        <v>43.881557548408345</v>
      </c>
      <c r="E43" s="24">
        <v>-101.85267912513497</v>
      </c>
      <c r="F43" s="51" t="s">
        <v>28</v>
      </c>
      <c r="G43" s="38">
        <f t="shared" ca="1" si="5"/>
        <v>24.326485096687055</v>
      </c>
      <c r="H43" s="48">
        <f t="shared" ca="1" si="2"/>
        <v>48.245459165628695</v>
      </c>
      <c r="I43" s="48">
        <f t="shared" ca="1" si="3"/>
        <v>72.547230197169597</v>
      </c>
      <c r="J43" s="21"/>
      <c r="K43" s="21"/>
      <c r="L43" s="21"/>
      <c r="M43" s="21"/>
      <c r="P43" s="7"/>
    </row>
    <row r="44" spans="1:16" x14ac:dyDescent="0.2">
      <c r="A44" s="23" t="str">
        <f t="shared" ca="1" si="14"/>
        <v>03/30 at 11:00</v>
      </c>
      <c r="B44" s="24" t="str">
        <f ca="1">INDIRECT("'[1 Bufkit Data Collector.xls]NAM_Buf'!I"&amp;5+(ROW()-9)*132)</f>
        <v>170330/1100</v>
      </c>
      <c r="C44" s="24">
        <v>293.76360174884024</v>
      </c>
      <c r="D44" s="24">
        <v>43.888219503189056</v>
      </c>
      <c r="E44" s="24">
        <v>-101.86426344810455</v>
      </c>
      <c r="F44" s="51" t="s">
        <v>28</v>
      </c>
      <c r="G44" s="38">
        <f t="shared" ca="1" si="5"/>
        <v>23.789222514941631</v>
      </c>
      <c r="H44" s="48">
        <f t="shared" ca="1" si="2"/>
        <v>47.856776906564434</v>
      </c>
      <c r="I44" s="48">
        <f t="shared" ca="1" si="3"/>
        <v>71.893078287184579</v>
      </c>
      <c r="J44" s="21"/>
      <c r="K44" s="21"/>
      <c r="L44" s="21"/>
      <c r="M44" s="21"/>
      <c r="P44" s="7"/>
    </row>
    <row r="45" spans="1:16" x14ac:dyDescent="0.2">
      <c r="A45" s="23" t="str">
        <f t="shared" ca="1" si="14"/>
        <v>03/30 at 12:00</v>
      </c>
      <c r="B45" s="24" t="str">
        <f ca="1">INDIRECT("'[1 Bufkit Data Collector.xls]NAM_Buf'!I"&amp;5+(ROW()-9)*132)</f>
        <v>170330/1200</v>
      </c>
      <c r="C45" s="24">
        <v>291.78120876052481</v>
      </c>
      <c r="D45" s="24">
        <v>43.93456503627857</v>
      </c>
      <c r="E45" s="24">
        <v>-101.85604039620543</v>
      </c>
      <c r="F45" s="51" t="s">
        <v>28</v>
      </c>
      <c r="G45" s="38">
        <f ca="1">IF(B45=0,"--",0.621371*(1/1000)*ACOS( SIN($B$6*PI()/180)*SIN(D45*PI()/180) + COS($B$6*PI()/180)*COS(D45*PI()/180)*COS(E45*PI()/180-$C$6*PI()/180) ) * 6371000)</f>
        <v>24.694493948611797</v>
      </c>
      <c r="H45" s="48">
        <f t="shared" ca="1" si="2"/>
        <v>49.420380652615044</v>
      </c>
      <c r="I45" s="48">
        <f t="shared" ca="1" si="3"/>
        <v>71.763476262784835</v>
      </c>
      <c r="J45" s="21"/>
      <c r="K45" s="21"/>
      <c r="L45" s="21"/>
      <c r="M45" s="21"/>
      <c r="P45" s="7"/>
    </row>
    <row r="46" spans="1:16" x14ac:dyDescent="0.2">
      <c r="A46" s="23" t="str">
        <f t="shared" ca="1" si="14"/>
        <v>03/30 at 13:00</v>
      </c>
      <c r="B46" s="24" t="str">
        <f ca="1">INDIRECT("'[1 Bufkit Data Collector.xls]NAM_Buf'!I"&amp;5+(ROW()-9)*132)</f>
        <v>170330/1300</v>
      </c>
      <c r="C46" s="24">
        <v>290.32943985241758</v>
      </c>
      <c r="D46" s="24">
        <v>43.993851835756494</v>
      </c>
      <c r="E46" s="24">
        <v>-101.85191015195302</v>
      </c>
      <c r="F46" s="51" t="s">
        <v>28</v>
      </c>
      <c r="G46" s="38">
        <f t="shared" ca="1" si="5"/>
        <v>26.091535578066797</v>
      </c>
      <c r="H46" s="48">
        <f t="shared" ca="1" si="2"/>
        <v>51.363374938429722</v>
      </c>
      <c r="I46" s="48">
        <f t="shared" ca="1" si="3"/>
        <v>71.491915465206517</v>
      </c>
      <c r="J46" s="21"/>
      <c r="K46" s="21"/>
      <c r="L46" s="21"/>
      <c r="M46" s="21"/>
      <c r="P46" s="7"/>
    </row>
    <row r="47" spans="1:16" x14ac:dyDescent="0.2">
      <c r="A47" s="23" t="str">
        <f t="shared" ca="1" si="14"/>
        <v>03/30 at 14:00</v>
      </c>
      <c r="B47" s="24" t="str">
        <f ca="1">INDIRECT("'[1 Bufkit Data Collector.xls]NAM_Buf'!I"&amp;5+(ROW()-9)*132)</f>
        <v>170330/1400</v>
      </c>
      <c r="C47" s="24">
        <v>291.24441709882251</v>
      </c>
      <c r="D47" s="24">
        <v>44.053186164939596</v>
      </c>
      <c r="E47" s="24">
        <v>-101.84889329034897</v>
      </c>
      <c r="F47" s="51" t="s">
        <v>28</v>
      </c>
      <c r="G47" s="38">
        <f t="shared" ca="1" si="5"/>
        <v>27.977215169606037</v>
      </c>
      <c r="H47" s="48">
        <f t="shared" ca="1" si="2"/>
        <v>53.504637722728141</v>
      </c>
      <c r="I47" s="48">
        <f t="shared" ca="1" si="3"/>
        <v>71.399331790688905</v>
      </c>
      <c r="J47" s="21"/>
      <c r="K47" s="21"/>
      <c r="L47" s="21"/>
      <c r="M47" s="21"/>
      <c r="P47" s="7"/>
    </row>
    <row r="48" spans="1:16" x14ac:dyDescent="0.2">
      <c r="A48" s="23" t="str">
        <f ca="1">MID(B48,3,2)&amp;"/"&amp;MID(B48,5,2)&amp;" at "&amp;MID(B48,8,2)&amp;":00"</f>
        <v>03/30 at 15:00</v>
      </c>
      <c r="B48" s="24" t="str">
        <f ca="1">INDIRECT("'[1 Bufkit Data Collector.xls]NAM_Buf'!I"&amp;5+(ROW()-9)*132)</f>
        <v>170330/1500</v>
      </c>
      <c r="C48" s="24">
        <v>293.48275194908729</v>
      </c>
      <c r="D48" s="24">
        <v>44.111632786829894</v>
      </c>
      <c r="E48" s="24">
        <v>-101.88495974884624</v>
      </c>
      <c r="F48" s="51" t="s">
        <v>28</v>
      </c>
      <c r="G48" s="38">
        <f t="shared" ca="1" si="5"/>
        <v>28.714606930230392</v>
      </c>
      <c r="H48" s="48">
        <f t="shared" ca="1" si="2"/>
        <v>54.24826541195764</v>
      </c>
      <c r="I48" s="48">
        <f t="shared" ca="1" si="3"/>
        <v>69.602146335587662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t="shared" ref="B49:B53" ca="1" si="15">INDIRECT("'[1 Bufkit Data Collector.xls]NAM_Buf'!I"&amp;5+(ROW()-9)*132)</f>
        <v>170330/1600</v>
      </c>
      <c r="C49" s="24">
        <v>296.0374444476634</v>
      </c>
      <c r="D49" s="24">
        <v>44.16946319444672</v>
      </c>
      <c r="E49" s="24">
        <v>-101.92068619075104</v>
      </c>
      <c r="F49" s="51" t="s">
        <v>28</v>
      </c>
      <c r="G49" s="38">
        <f t="shared" ca="1" si="5"/>
        <v>30.073175931426537</v>
      </c>
      <c r="H49" s="48">
        <f t="shared" ca="1" si="2"/>
        <v>55.324000748140342</v>
      </c>
      <c r="I49" s="48">
        <f t="shared" ca="1" si="3"/>
        <v>68.061304950455536</v>
      </c>
      <c r="J49" s="21"/>
      <c r="K49" s="21"/>
      <c r="L49" s="21"/>
      <c r="M49" s="21"/>
      <c r="P49" s="7"/>
    </row>
    <row r="50" spans="1:16" x14ac:dyDescent="0.2">
      <c r="A50" s="23" t="str">
        <f t="shared" ref="A50:A53" ca="1" si="16">MID(B50,3,2)&amp;"/"&amp;MID(B50,5,2)&amp;" at "&amp;MID(B50,8,2)&amp;":00"</f>
        <v>03/30 at 17:00</v>
      </c>
      <c r="B50" s="24" t="str">
        <f t="shared" ca="1" si="15"/>
        <v>170330/1700</v>
      </c>
      <c r="C50" s="24">
        <v>301.4639358660483</v>
      </c>
      <c r="D50" s="24">
        <v>44.261267078071576</v>
      </c>
      <c r="E50" s="24">
        <v>-101.89921489423381</v>
      </c>
      <c r="F50" s="51" t="s">
        <v>28</v>
      </c>
      <c r="G50" s="38">
        <f t="shared" ca="1" si="5"/>
        <v>35.563129785706955</v>
      </c>
      <c r="H50" s="48">
        <f ca="1">IF(B50=0,"--",0.621371*(1/1000)*ACOS( SIN($B$7*PI()/180)*SIN(D50*PI()/180) + COS($B$7*PI()/180)*COS(D50*PI()/180)*COS(E50*PI()/180-$C$7*PI()/180) ) * 6371000)</f>
        <v>60.384779715887724</v>
      </c>
      <c r="I50" s="48">
        <f t="shared" ca="1" si="3"/>
        <v>69.949317582268705</v>
      </c>
      <c r="J50" s="21"/>
      <c r="K50" s="21"/>
      <c r="L50" s="21"/>
      <c r="M50" s="21"/>
      <c r="P50" s="7"/>
    </row>
    <row r="51" spans="1:16" x14ac:dyDescent="0.2">
      <c r="A51" s="23" t="str">
        <f t="shared" ca="1" si="16"/>
        <v>03/30 at 18:00</v>
      </c>
      <c r="B51" s="24" t="str">
        <f t="shared" ca="1" si="15"/>
        <v>170330/1800</v>
      </c>
      <c r="C51" s="24">
        <v>303.59797870926349</v>
      </c>
      <c r="D51" s="24">
        <v>44.346595830474072</v>
      </c>
      <c r="E51" s="24">
        <v>-101.88674600849082</v>
      </c>
      <c r="F51" s="51" t="s">
        <v>28</v>
      </c>
      <c r="G51" s="38">
        <f t="shared" ca="1" si="5"/>
        <v>40.704865010489762</v>
      </c>
      <c r="H51" s="48">
        <f t="shared" ca="1" si="2"/>
        <v>65.05348259101595</v>
      </c>
      <c r="I51" s="48">
        <f t="shared" ca="1" si="3"/>
        <v>71.81439399206937</v>
      </c>
      <c r="J51" s="21"/>
      <c r="K51" s="21"/>
      <c r="L51" s="21"/>
      <c r="M51" s="21"/>
      <c r="P51" s="7"/>
    </row>
    <row r="52" spans="1:16" x14ac:dyDescent="0.2">
      <c r="A52" s="23" t="str">
        <f t="shared" ca="1" si="16"/>
        <v>03/30 at 19:00</v>
      </c>
      <c r="B52" s="24" t="str">
        <f t="shared" ca="1" si="15"/>
        <v>170330/1900</v>
      </c>
      <c r="C52" s="24">
        <v>305.15925116732507</v>
      </c>
      <c r="D52" s="24">
        <v>44.404721968251074</v>
      </c>
      <c r="E52" s="24">
        <v>-101.84887429954657</v>
      </c>
      <c r="F52" s="51" t="s">
        <v>28</v>
      </c>
      <c r="G52" s="38">
        <f t="shared" ca="1" si="5"/>
        <v>45.089021045004372</v>
      </c>
      <c r="H52" s="48">
        <f t="shared" ca="1" si="2"/>
        <v>69.293349602656633</v>
      </c>
      <c r="I52" s="48">
        <f t="shared" ca="1" si="3"/>
        <v>74.715357204927557</v>
      </c>
      <c r="J52" s="21"/>
      <c r="K52" s="21"/>
      <c r="L52" s="21"/>
      <c r="M52" s="21"/>
      <c r="P52" s="7"/>
    </row>
    <row r="53" spans="1:16" x14ac:dyDescent="0.2">
      <c r="A53" s="23" t="str">
        <f t="shared" ca="1" si="16"/>
        <v>03/30 at 20:00</v>
      </c>
      <c r="B53" s="24" t="str">
        <f t="shared" ca="1" si="15"/>
        <v>170330/2000</v>
      </c>
      <c r="C53" s="24">
        <v>306.29423048956687</v>
      </c>
      <c r="D53" s="24">
        <v>44.43177497497674</v>
      </c>
      <c r="E53" s="24">
        <v>-101.80045429214118</v>
      </c>
      <c r="F53" s="51" t="s">
        <v>28</v>
      </c>
      <c r="G53" s="38">
        <f t="shared" ca="1" si="5"/>
        <v>47.965957433616197</v>
      </c>
      <c r="H53" s="48">
        <f t="shared" ca="1" si="2"/>
        <v>72.277069395464665</v>
      </c>
      <c r="I53" s="48">
        <f t="shared" ca="1" si="3"/>
        <v>77.558243726821686</v>
      </c>
      <c r="J53" s="21"/>
      <c r="K53" s="21"/>
      <c r="L53" s="21"/>
      <c r="M53" s="21"/>
      <c r="P53" s="7"/>
    </row>
    <row r="54" spans="1:16" x14ac:dyDescent="0.2">
      <c r="A54" s="23" t="str">
        <f ca="1">MID(B54,3,2)&amp;"/"&amp;MID(B54,5,2)&amp;" at "&amp;MID(B54,8,2)&amp;":00"</f>
        <v>03/30 at 21:00</v>
      </c>
      <c r="B54" s="24" t="str">
        <f ca="1">INDIRECT("'[1 Bufkit Data Collector.xls]NAM_Buf'!I"&amp;5+(ROW()-9)*132)</f>
        <v>170330/2100</v>
      </c>
      <c r="C54" s="24">
        <v>306.75616098045208</v>
      </c>
      <c r="D54" s="24">
        <v>44.428354833287351</v>
      </c>
      <c r="E54" s="24">
        <v>-101.73837949988662</v>
      </c>
      <c r="F54" s="51" t="s">
        <v>28</v>
      </c>
      <c r="G54" s="38">
        <f t="shared" ca="1" si="5"/>
        <v>49.558653793484126</v>
      </c>
      <c r="H54" s="48">
        <f t="shared" ca="1" si="2"/>
        <v>74.182677735231621</v>
      </c>
      <c r="I54" s="48">
        <f t="shared" ca="1" si="3"/>
        <v>80.407440446259244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306.72279626256591</v>
      </c>
      <c r="D55" s="24">
        <v>44.389919834877027</v>
      </c>
      <c r="E55" s="24">
        <v>-101.67885705051802</v>
      </c>
      <c r="F55" s="51" t="s">
        <v>28</v>
      </c>
      <c r="G55" s="38">
        <f t="shared" ca="1" si="5"/>
        <v>49.378602132565113</v>
      </c>
      <c r="H55" s="48">
        <f t="shared" ca="1" si="2"/>
        <v>74.400088683605205</v>
      </c>
      <c r="I55" s="48">
        <f t="shared" ca="1" si="3"/>
        <v>82.505777258525484</v>
      </c>
      <c r="J55" s="21"/>
      <c r="K55" s="21"/>
      <c r="L55" s="21"/>
      <c r="M55" s="21"/>
      <c r="P55" s="7"/>
    </row>
    <row r="56" spans="1:16" x14ac:dyDescent="0.2">
      <c r="A56" s="23" t="str">
        <f t="shared" ref="A56:A60" ca="1" si="17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305.87487013201559</v>
      </c>
      <c r="D56" s="24">
        <v>44.353150267749101</v>
      </c>
      <c r="E56" s="24">
        <v>-101.70866194749578</v>
      </c>
      <c r="F56" s="51" t="s">
        <v>28</v>
      </c>
      <c r="G56" s="38">
        <f ca="1">IF(B56=0,"--",0.621371*(1/1000)*ACOS( SIN($B$6*PI()/180)*SIN(D56*PI()/180) + COS($B$6*PI()/180)*COS(D56*PI()/180)*COS(E56*PI()/180-$C$6*PI()/180) ) * 6371000)</f>
        <v>46.507452502735063</v>
      </c>
      <c r="H56" s="48">
        <f t="shared" ca="1" si="2"/>
        <v>71.592759666413286</v>
      </c>
      <c r="I56" s="48">
        <f ca="1">IF(B56=0,"--",0.621371*(1/1000)*ACOS( SIN($B$5*PI()/180)*SIN(D56*PI()/180) + COS($B$5*PI()/180)*COS(D56*PI()/180)*COS(E56*PI()/180-$C$5*PI()/180) ) * 6371000)</f>
        <v>80.463867292468507</v>
      </c>
      <c r="J56" s="21"/>
      <c r="K56" s="21"/>
      <c r="L56" s="21"/>
      <c r="M56" s="21"/>
      <c r="P56" s="7"/>
    </row>
    <row r="57" spans="1:16" x14ac:dyDescent="0.2">
      <c r="A57" s="23" t="str">
        <f t="shared" ca="1" si="17"/>
        <v>03/31 at 00:00</v>
      </c>
      <c r="B57" s="24" t="str">
        <f ca="1">INDIRECT("'[1 Bufkit Data Collector.xls]NAM_Buf'!I"&amp;5+(ROW()-9)*132)</f>
        <v>170331/0000</v>
      </c>
      <c r="C57" s="24">
        <v>304.72128426829516</v>
      </c>
      <c r="D57" s="24">
        <v>44.316079983572209</v>
      </c>
      <c r="E57" s="24">
        <v>-101.75446746988106</v>
      </c>
      <c r="F57" s="51" t="s">
        <v>28</v>
      </c>
      <c r="G57" s="38">
        <f t="shared" ca="1" si="5"/>
        <v>43.089769790987319</v>
      </c>
      <c r="H57" s="48">
        <f t="shared" ca="1" si="2"/>
        <v>68.19392842319894</v>
      </c>
      <c r="I57" s="48">
        <f t="shared" ca="1" si="3"/>
        <v>77.698346651227013</v>
      </c>
      <c r="J57" s="21"/>
      <c r="K57" s="21"/>
      <c r="L57" s="21"/>
      <c r="M57" s="21"/>
      <c r="P57" s="7"/>
    </row>
    <row r="58" spans="1:16" x14ac:dyDescent="0.2">
      <c r="A58" s="23" t="str">
        <f t="shared" ca="1" si="17"/>
        <v>03/31 at 01:00</v>
      </c>
      <c r="B58" s="24" t="str">
        <f ca="1">INDIRECT("'[1 Bufkit Data Collector.xls]NAM_Buf'!I"&amp;5+(ROW()-9)*132)</f>
        <v>170331/0100</v>
      </c>
      <c r="C58" s="24">
        <v>302.65570090507208</v>
      </c>
      <c r="D58" s="24">
        <v>44.283351148295004</v>
      </c>
      <c r="E58" s="24">
        <v>-101.83775538459628</v>
      </c>
      <c r="F58" s="51" t="s">
        <v>28</v>
      </c>
      <c r="G58" s="38">
        <f t="shared" ca="1" si="5"/>
        <v>38.667887656338173</v>
      </c>
      <c r="H58" s="48">
        <f t="shared" ca="1" si="2"/>
        <v>63.635398897108949</v>
      </c>
      <c r="I58" s="48">
        <f t="shared" ca="1" si="3"/>
        <v>73.216157756812819</v>
      </c>
      <c r="J58" s="21"/>
      <c r="K58" s="21"/>
      <c r="L58" s="21"/>
      <c r="M58" s="21"/>
      <c r="P58" s="7"/>
    </row>
    <row r="59" spans="1:16" x14ac:dyDescent="0.2">
      <c r="A59" s="23" t="str">
        <f t="shared" ca="1" si="17"/>
        <v>03/31 at 02:00</v>
      </c>
      <c r="B59" s="24" t="str">
        <f t="shared" ref="B59:B62" ca="1" si="18">INDIRECT("'[1 Bufkit Data Collector.xls]NAM_Buf'!I"&amp;5+(ROW()-9)*132)</f>
        <v>170331/0200</v>
      </c>
      <c r="C59" s="24">
        <v>300.29890403491538</v>
      </c>
      <c r="D59" s="24">
        <v>44.266399919582831</v>
      </c>
      <c r="E59" s="24">
        <v>-101.94236999561716</v>
      </c>
      <c r="F59" s="51" t="s">
        <v>28</v>
      </c>
      <c r="G59" s="38">
        <f t="shared" ca="1" si="5"/>
        <v>34.577185145354001</v>
      </c>
      <c r="H59" s="48">
        <f t="shared" ca="1" si="2"/>
        <v>59.130306364878322</v>
      </c>
      <c r="I59" s="48">
        <f t="shared" ca="1" si="3"/>
        <v>67.913119029729373</v>
      </c>
      <c r="J59" s="21"/>
      <c r="K59" s="21"/>
      <c r="L59" s="21"/>
      <c r="M59" s="21"/>
      <c r="P59" s="7"/>
    </row>
    <row r="60" spans="1:16" x14ac:dyDescent="0.2">
      <c r="A60" s="23" t="str">
        <f t="shared" ca="1" si="17"/>
        <v>03/31 at 03:00</v>
      </c>
      <c r="B60" s="24" t="str">
        <f t="shared" ca="1" si="18"/>
        <v>170331/0300</v>
      </c>
      <c r="C60" s="24">
        <v>298.42875577305745</v>
      </c>
      <c r="D60" s="24">
        <v>44.266994554595669</v>
      </c>
      <c r="E60" s="24">
        <v>-102.07442593874592</v>
      </c>
      <c r="F60" s="51" t="s">
        <v>28</v>
      </c>
      <c r="G60" s="38">
        <f t="shared" ca="1" si="5"/>
        <v>31.340301711365225</v>
      </c>
      <c r="H60" s="48">
        <f t="shared" ca="1" si="2"/>
        <v>54.830935604989939</v>
      </c>
      <c r="I60" s="48">
        <f t="shared" ca="1" si="3"/>
        <v>61.515004330864841</v>
      </c>
      <c r="J60" s="21"/>
      <c r="K60" s="21"/>
      <c r="L60" s="21"/>
      <c r="M60" s="21"/>
      <c r="P60" s="7"/>
    </row>
    <row r="61" spans="1:16" x14ac:dyDescent="0.2">
      <c r="A61" s="23" t="str">
        <f ca="1">MID(B61,3,2)&amp;"/"&amp;MID(B61,5,2)&amp;" at "&amp;MID(B61,8,2)&amp;":00"</f>
        <v>03/31 at 04:00</v>
      </c>
      <c r="B61" s="24" t="str">
        <f t="shared" ca="1" si="18"/>
        <v>170331/0400</v>
      </c>
      <c r="C61" s="24">
        <v>297.12818217561266</v>
      </c>
      <c r="D61" s="24">
        <v>44.278772065596627</v>
      </c>
      <c r="E61" s="24">
        <v>-102.20944853086095</v>
      </c>
      <c r="F61" s="51" t="s">
        <v>28</v>
      </c>
      <c r="G61" s="38">
        <f t="shared" ca="1" si="5"/>
        <v>29.958354488433464</v>
      </c>
      <c r="H61" s="48">
        <f t="shared" ca="1" si="2"/>
        <v>51.58724640610933</v>
      </c>
      <c r="I61" s="48">
        <f t="shared" ca="1" si="3"/>
        <v>55.195137624138894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8"/>
        <v>170331/0500</v>
      </c>
      <c r="C62" s="24">
        <v>296.31425571326105</v>
      </c>
      <c r="D62" s="24">
        <v>44.297466127807247</v>
      </c>
      <c r="E62" s="24">
        <v>-102.28984919983928</v>
      </c>
      <c r="F62" s="51" t="s">
        <v>28</v>
      </c>
      <c r="G62" s="38">
        <f t="shared" ca="1" si="5"/>
        <v>30.643875990403803</v>
      </c>
      <c r="H62" s="48">
        <f t="shared" ca="1" si="2"/>
        <v>50.704508677337294</v>
      </c>
      <c r="I62" s="48">
        <f t="shared" ca="1" si="3"/>
        <v>51.71264307993453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ca="1">INDIRECT("'[1 Bufkit Data Collector.xls]NAM_Buf'!I"&amp;5+(ROW()-9)*132)</f>
        <v>170331/0600</v>
      </c>
      <c r="C63" s="24">
        <v>295.62790504819418</v>
      </c>
      <c r="D63" s="24">
        <v>44.303700586901734</v>
      </c>
      <c r="E63" s="24">
        <v>-102.34859033250032</v>
      </c>
      <c r="F63" s="51" t="s">
        <v>28</v>
      </c>
      <c r="G63" s="38">
        <f t="shared" ca="1" si="5"/>
        <v>30.977711178420691</v>
      </c>
      <c r="H63" s="48">
        <f t="shared" ca="1" si="2"/>
        <v>49.806239863582284</v>
      </c>
      <c r="I63" s="48">
        <f t="shared" ca="1" si="3"/>
        <v>49.075069610327489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295.22961327852494</v>
      </c>
      <c r="D64" s="24">
        <v>44.30996228095286</v>
      </c>
      <c r="E64" s="24">
        <v>-102.39753158070705</v>
      </c>
      <c r="F64" s="51" t="s">
        <v>28</v>
      </c>
      <c r="G64" s="38">
        <f t="shared" ca="1" si="5"/>
        <v>31.53809313885316</v>
      </c>
      <c r="H64" s="48">
        <f t="shared" ca="1" si="2"/>
        <v>49.249445371160093</v>
      </c>
      <c r="I64" s="48">
        <f t="shared" ca="1" si="3"/>
        <v>46.930656583491853</v>
      </c>
      <c r="J64" s="21"/>
      <c r="K64" s="21"/>
      <c r="L64" s="21"/>
      <c r="M64" s="21"/>
      <c r="P64" s="7"/>
    </row>
    <row r="65" spans="1:16" x14ac:dyDescent="0.2">
      <c r="A65" s="23" t="str">
        <f t="shared" ref="A65:A69" ca="1" si="19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294.69684754731776</v>
      </c>
      <c r="D65" s="24">
        <v>44.308201263598846</v>
      </c>
      <c r="E65" s="24">
        <v>-102.45091544395289</v>
      </c>
      <c r="F65" s="51" t="s">
        <v>28</v>
      </c>
      <c r="G65" s="38">
        <f t="shared" ca="1" si="5"/>
        <v>31.768757913421553</v>
      </c>
      <c r="H65" s="48">
        <f t="shared" ca="1" si="2"/>
        <v>48.216174030029329</v>
      </c>
      <c r="I65" s="48">
        <f t="shared" ca="1" si="3"/>
        <v>44.414247229277805</v>
      </c>
      <c r="J65" s="21"/>
      <c r="K65" s="21"/>
      <c r="L65" s="21"/>
      <c r="M65" s="21"/>
      <c r="P65" s="7"/>
    </row>
    <row r="66" spans="1:16" x14ac:dyDescent="0.2">
      <c r="A66" s="23" t="str">
        <f t="shared" ca="1" si="19"/>
        <v>03/31 at 09:00</v>
      </c>
      <c r="B66" s="24" t="str">
        <f ca="1">INDIRECT("'[1 Bufkit Data Collector.xls]NAM_Buf'!I"&amp;5+(ROW()-9)*132)</f>
        <v>170331/0900</v>
      </c>
      <c r="C66" s="24">
        <v>294.34652966719966</v>
      </c>
      <c r="D66" s="24">
        <v>44.301383496930015</v>
      </c>
      <c r="E66" s="24">
        <v>-102.5103058775174</v>
      </c>
      <c r="F66" s="51" t="s">
        <v>28</v>
      </c>
      <c r="G66" s="38">
        <f t="shared" ca="1" si="5"/>
        <v>31.956848805528221</v>
      </c>
      <c r="H66" s="48">
        <f t="shared" ca="1" si="2"/>
        <v>46.892641431748928</v>
      </c>
      <c r="I66" s="48">
        <f t="shared" ca="1" si="3"/>
        <v>41.507750867846298</v>
      </c>
      <c r="J66" s="21"/>
      <c r="K66" s="21"/>
      <c r="L66" s="21"/>
      <c r="M66" s="21"/>
      <c r="P66" s="7"/>
    </row>
    <row r="67" spans="1:16" x14ac:dyDescent="0.2">
      <c r="A67" s="23" t="str">
        <f t="shared" ca="1" si="19"/>
        <v>03/31 at 10:00</v>
      </c>
      <c r="B67" s="24" t="str">
        <f ca="1">INDIRECT("'[1 Bufkit Data Collector.xls]NAM_Buf'!I"&amp;5+(ROW()-9)*132)</f>
        <v>170331/1000</v>
      </c>
      <c r="C67" s="24">
        <v>294.02518530574156</v>
      </c>
      <c r="D67" s="24">
        <v>44.255087301720557</v>
      </c>
      <c r="E67" s="24">
        <v>-102.52259546303206</v>
      </c>
      <c r="F67" s="51" t="s">
        <v>28</v>
      </c>
      <c r="G67" s="38">
        <f t="shared" ca="1" si="5"/>
        <v>29.070674685817433</v>
      </c>
      <c r="H67" s="48">
        <f ca="1">IF(B67=0,"--",0.621371*(1/1000)*ACOS( SIN($B$7*PI()/180)*SIN(D67*PI()/180) + COS($B$7*PI()/180)*COS(D67*PI()/180)*COS(E67*PI()/180-$C$7*PI()/180) ) * 6371000)</f>
        <v>43.649458724290135</v>
      </c>
      <c r="I67" s="48">
        <f ca="1">IF(B67=0,"--",0.621371*(1/1000)*ACOS( SIN($B$5*PI()/180)*SIN(D67*PI()/180) + COS($B$5*PI()/180)*COS(D67*PI()/180)*COS(E67*PI()/180-$C$5*PI()/180) ) * 6371000)</f>
        <v>39.849527188616072</v>
      </c>
      <c r="J67" s="21"/>
      <c r="K67" s="21"/>
      <c r="L67" s="21"/>
      <c r="M67" s="21"/>
      <c r="P67" s="7"/>
    </row>
    <row r="68" spans="1:16" x14ac:dyDescent="0.2">
      <c r="A68" s="23" t="str">
        <f t="shared" ca="1" si="19"/>
        <v>03/31 at 11:00</v>
      </c>
      <c r="B68" s="24" t="str">
        <f t="shared" ref="B68:B108" ca="1" si="20">INDIRECT("'[1 Bufkit Data Collector.xls]NAM_Buf'!I"&amp;5+(ROW()-9)*132)</f>
        <v>170331/1100</v>
      </c>
      <c r="C68" s="24">
        <v>293.89274953369949</v>
      </c>
      <c r="D68" s="24">
        <v>44.192027685299372</v>
      </c>
      <c r="E68" s="24">
        <v>-102.57767786245758</v>
      </c>
      <c r="F68" s="51" t="s">
        <v>28</v>
      </c>
      <c r="G68" s="38">
        <f t="shared" ca="1" si="5"/>
        <v>26.09124526246616</v>
      </c>
      <c r="H68" s="48">
        <f t="shared" ca="1" si="2"/>
        <v>38.735206531794844</v>
      </c>
      <c r="I68" s="48">
        <f t="shared" ca="1" si="3"/>
        <v>36.068063087327033</v>
      </c>
      <c r="J68" s="21"/>
      <c r="K68" s="21"/>
      <c r="L68" s="21"/>
      <c r="M68" s="21"/>
      <c r="P68" s="7"/>
    </row>
    <row r="69" spans="1:16" x14ac:dyDescent="0.2">
      <c r="A69" s="23" t="str">
        <f t="shared" ca="1" si="19"/>
        <v>03/31 at 12:00</v>
      </c>
      <c r="B69" s="24" t="str">
        <f t="shared" ca="1" si="20"/>
        <v>170331/1200</v>
      </c>
      <c r="C69" s="24">
        <v>293.71113145260875</v>
      </c>
      <c r="D69" s="24">
        <v>44.15458027956975</v>
      </c>
      <c r="E69" s="24">
        <v>-102.67601172413562</v>
      </c>
      <c r="F69" s="51" t="s">
        <v>28</v>
      </c>
      <c r="G69" s="38">
        <f ca="1">IF(B69=0,"--",0.621371*(1/1000)*ACOS( SIN($B$6*PI()/180)*SIN(D69*PI()/180) + COS($B$6*PI()/180)*COS(D69*PI()/180)*COS(E69*PI()/180-$C$6*PI()/180) ) * 6371000)</f>
        <v>26.582956656445972</v>
      </c>
      <c r="H69" s="48">
        <f t="shared" ca="1" si="2"/>
        <v>35.29621742893427</v>
      </c>
      <c r="I69" s="48">
        <f t="shared" ca="1" si="3"/>
        <v>30.780488733940565</v>
      </c>
      <c r="J69" s="21"/>
      <c r="K69" s="21"/>
      <c r="L69" s="21"/>
      <c r="M69" s="21"/>
      <c r="P69" s="7"/>
    </row>
    <row r="70" spans="1:16" x14ac:dyDescent="0.2">
      <c r="A70" s="23" t="str">
        <f ca="1">MID(B70,3,2)&amp;"/"&amp;MID(B70,5,2)&amp;" at "&amp;MID(B70,8,2)&amp;":00"</f>
        <v>03/31 at 13:00</v>
      </c>
      <c r="B70" s="24" t="str">
        <f t="shared" ca="1" si="20"/>
        <v>170331/1300</v>
      </c>
      <c r="C70" s="24">
        <v>293.28872390457559</v>
      </c>
      <c r="D70" s="24">
        <v>44.12857603404737</v>
      </c>
      <c r="E70" s="24">
        <v>-102.8133575551746</v>
      </c>
      <c r="F70" s="51" t="s">
        <v>28</v>
      </c>
      <c r="G70" s="38">
        <f t="shared" ca="1" si="5"/>
        <v>30.17613601836748</v>
      </c>
      <c r="H70" s="48">
        <f t="shared" ca="1" si="2"/>
        <v>33.320362566491653</v>
      </c>
      <c r="I70" s="48">
        <f t="shared" ca="1" si="3"/>
        <v>23.768592115993506</v>
      </c>
      <c r="J70" s="21"/>
      <c r="K70" s="21"/>
      <c r="L70" s="21"/>
      <c r="M70" s="21"/>
      <c r="P70" s="7"/>
    </row>
    <row r="71" spans="1:16" s="20" customFormat="1" x14ac:dyDescent="0.2">
      <c r="A71" s="45" t="str">
        <f t="shared" ref="A71:A93" ca="1" si="21">MID(B71,3,2)&amp;"/"&amp;MID(B71,5,2)&amp;" at "&amp;MID(B71,8,2)&amp;":00"</f>
        <v>03/31 at 14:00</v>
      </c>
      <c r="B71" s="46" t="str">
        <f t="shared" ca="1" si="20"/>
        <v>170331/1400</v>
      </c>
      <c r="C71" s="47">
        <v>293.03707396348852</v>
      </c>
      <c r="D71" s="47">
        <v>44.118054999978014</v>
      </c>
      <c r="E71" s="47">
        <v>-102.94218928598718</v>
      </c>
      <c r="F71" s="51" t="s">
        <v>28</v>
      </c>
      <c r="G71" s="38">
        <f ca="1">IF(B71=0,"--",0.621371*(1/1000)*ACOS( SIN($B$6*PI()/180)*SIN(D71*PI()/180) + COS($B$6*PI()/180)*COS(D71*PI()/180)*COS(E71*PI()/180-$C$6*PI()/180) ) * 6371000)</f>
        <v>35.020178370185938</v>
      </c>
      <c r="H71" s="48">
        <f t="shared" ca="1" si="2"/>
        <v>33.695067845589257</v>
      </c>
      <c r="I71" s="48">
        <f t="shared" ca="1" si="3"/>
        <v>17.344343133366635</v>
      </c>
      <c r="J71" s="32"/>
      <c r="K71" s="32"/>
      <c r="L71" s="32"/>
      <c r="M71" s="32"/>
      <c r="P71" s="33"/>
    </row>
    <row r="72" spans="1:16" x14ac:dyDescent="0.2">
      <c r="A72" s="45" t="str">
        <f t="shared" ca="1" si="21"/>
        <v>03/31 at 15:00</v>
      </c>
      <c r="B72" s="46" t="str">
        <f t="shared" ca="1" si="20"/>
        <v>170331/1500</v>
      </c>
      <c r="C72" s="49">
        <v>292.72035172721729</v>
      </c>
      <c r="D72" s="49">
        <v>44.139773568488323</v>
      </c>
      <c r="E72" s="49">
        <v>-103.06012261855484</v>
      </c>
      <c r="F72" s="51" t="s">
        <v>28</v>
      </c>
      <c r="G72" s="38">
        <f t="shared" ca="1" si="5"/>
        <v>40.843862867524741</v>
      </c>
      <c r="H72" s="48">
        <f t="shared" ca="1" si="2"/>
        <v>37.067096454433965</v>
      </c>
      <c r="I72" s="48">
        <f t="shared" ca="1" si="3"/>
        <v>12.083392032551522</v>
      </c>
      <c r="J72" s="21"/>
      <c r="K72" s="21"/>
      <c r="L72" s="21"/>
      <c r="M72" s="21"/>
      <c r="P72" s="7"/>
    </row>
    <row r="73" spans="1:16" x14ac:dyDescent="0.2">
      <c r="A73" s="45" t="str">
        <f t="shared" ca="1" si="21"/>
        <v>03/31 at 16:00</v>
      </c>
      <c r="B73" s="46" t="str">
        <f t="shared" ca="1" si="20"/>
        <v>170331/1600</v>
      </c>
      <c r="C73" s="24">
        <v>292.27782198040461</v>
      </c>
      <c r="D73" s="24">
        <v>44.189710970217845</v>
      </c>
      <c r="E73" s="24">
        <v>-103.13492849416788</v>
      </c>
      <c r="F73" s="51" t="s">
        <v>28</v>
      </c>
      <c r="G73" s="38">
        <f t="shared" ca="1" si="5"/>
        <v>45.765546878118379</v>
      </c>
      <c r="H73" s="48">
        <f t="shared" ca="1" si="2"/>
        <v>41.761672263154999</v>
      </c>
      <c r="I73" s="48">
        <f t="shared" ca="1" si="3"/>
        <v>10.899607196865665</v>
      </c>
      <c r="J73" s="21"/>
      <c r="K73" s="21"/>
      <c r="L73" s="21"/>
      <c r="M73" s="21"/>
      <c r="P73" s="7"/>
    </row>
    <row r="74" spans="1:16" x14ac:dyDescent="0.2">
      <c r="A74" s="45" t="str">
        <f t="shared" ca="1" si="21"/>
        <v>03/31 at 17:00</v>
      </c>
      <c r="B74" s="46" t="str">
        <f t="shared" ca="1" si="20"/>
        <v>170331/1700</v>
      </c>
      <c r="C74" s="24">
        <v>292.1648603451909</v>
      </c>
      <c r="D74" s="24">
        <v>44.238237840886185</v>
      </c>
      <c r="E74" s="24">
        <v>-103.13774063469415</v>
      </c>
      <c r="F74" s="51" t="s">
        <v>28</v>
      </c>
      <c r="G74" s="38">
        <f t="shared" ca="1" si="5"/>
        <v>47.648592034136271</v>
      </c>
      <c r="H74" s="48">
        <f t="shared" ca="1" si="2"/>
        <v>44.847892036623577</v>
      </c>
      <c r="I74" s="48">
        <f t="shared" ca="1" si="3"/>
        <v>13.445709048880223</v>
      </c>
      <c r="J74" s="21"/>
      <c r="K74" s="21"/>
      <c r="L74" s="21"/>
      <c r="M74" s="21"/>
      <c r="P74" s="7"/>
    </row>
    <row r="75" spans="1:16" x14ac:dyDescent="0.2">
      <c r="A75" s="45" t="str">
        <f t="shared" ca="1" si="21"/>
        <v>03/31 at 18:00</v>
      </c>
      <c r="B75" s="46" t="str">
        <f t="shared" ca="1" si="20"/>
        <v>170331/1800</v>
      </c>
      <c r="C75" s="24">
        <v>292.3371149964114</v>
      </c>
      <c r="D75" s="24">
        <v>44.270907926559083</v>
      </c>
      <c r="E75" s="24">
        <v>-103.1055136861672</v>
      </c>
      <c r="F75" s="51" t="s">
        <v>28</v>
      </c>
      <c r="G75" s="38">
        <f t="shared" ca="1" si="5"/>
        <v>47.642455166739381</v>
      </c>
      <c r="H75" s="48">
        <f t="shared" ca="1" si="2"/>
        <v>46.296782107810337</v>
      </c>
      <c r="I75" s="48">
        <f t="shared" ca="1" si="3"/>
        <v>16.208334343796771</v>
      </c>
      <c r="J75" s="21"/>
      <c r="K75" s="21"/>
      <c r="L75" s="21"/>
      <c r="M75" s="21"/>
      <c r="P75" s="7"/>
    </row>
    <row r="76" spans="1:16" x14ac:dyDescent="0.2">
      <c r="A76" s="45" t="str">
        <f t="shared" ca="1" si="21"/>
        <v>03/31 at 19:00</v>
      </c>
      <c r="B76" s="46" t="str">
        <f t="shared" ca="1" si="20"/>
        <v>170331/1900</v>
      </c>
      <c r="C76" s="24">
        <v>292.7813268630116</v>
      </c>
      <c r="D76" s="24">
        <v>44.307647432356006</v>
      </c>
      <c r="E76" s="24">
        <v>-103.0965061054815</v>
      </c>
      <c r="F76" s="51" t="s">
        <v>28</v>
      </c>
      <c r="G76" s="38">
        <f t="shared" ca="1" si="5"/>
        <v>48.860128929463457</v>
      </c>
      <c r="H76" s="48">
        <f t="shared" ref="H76:H85" ca="1" si="22">IF(B76=0,"--",0.621371*(1/1000)*ACOS( SIN($B$7*PI()/180)*SIN(D76*PI()/180) + COS($B$7*PI()/180)*COS(D76*PI()/180)*COS(E76*PI()/180-$C$7*PI()/180) ) * 6371000)</f>
        <v>48.510405607239306</v>
      </c>
      <c r="I76" s="48">
        <f t="shared" ref="I76:I93" ca="1" si="23">IF(B76=0,"--",0.621371*(1/1000)*ACOS( SIN($B$5*PI()/180)*SIN(D76*PI()/180) + COS($B$5*PI()/180)*COS(D76*PI()/180)*COS(E76*PI()/180-$C$5*PI()/180) ) * 6371000)</f>
        <v>18.596295898172507</v>
      </c>
      <c r="J76" s="21"/>
      <c r="K76" s="21"/>
      <c r="L76" s="21"/>
      <c r="M76" s="21"/>
      <c r="P76" s="7"/>
    </row>
    <row r="77" spans="1:16" x14ac:dyDescent="0.2">
      <c r="A77" s="45" t="str">
        <f t="shared" ca="1" si="21"/>
        <v>03/31 at 20:00</v>
      </c>
      <c r="B77" s="46" t="str">
        <f t="shared" ca="1" si="20"/>
        <v>170331/2000</v>
      </c>
      <c r="C77" s="24">
        <v>293.04609120751178</v>
      </c>
      <c r="D77" s="24">
        <v>44.318348086233613</v>
      </c>
      <c r="E77" s="24">
        <v>-103.0892969332269</v>
      </c>
      <c r="F77" s="51" t="s">
        <v>28</v>
      </c>
      <c r="G77" s="38">
        <f t="shared" ca="1" si="5"/>
        <v>49.061798261457469</v>
      </c>
      <c r="H77" s="48">
        <f t="shared" ca="1" si="22"/>
        <v>49.086198572636711</v>
      </c>
      <c r="I77" s="48">
        <f t="shared" ca="1" si="23"/>
        <v>19.414335473881479</v>
      </c>
      <c r="J77" s="21"/>
      <c r="K77" s="21"/>
      <c r="L77" s="21"/>
      <c r="M77" s="21"/>
      <c r="P77" s="7"/>
    </row>
    <row r="78" spans="1:16" x14ac:dyDescent="0.2">
      <c r="A78" s="45" t="str">
        <f t="shared" ca="1" si="21"/>
        <v>03/31 at 21:00</v>
      </c>
      <c r="B78" s="46" t="str">
        <f t="shared" ca="1" si="20"/>
        <v>170331/2100</v>
      </c>
      <c r="C78" s="24">
        <v>293.30738284524392</v>
      </c>
      <c r="D78" s="24">
        <v>44.301543894076012</v>
      </c>
      <c r="E78" s="24">
        <v>-103.02785087861272</v>
      </c>
      <c r="F78" s="51" t="s">
        <v>28</v>
      </c>
      <c r="G78" s="38">
        <f t="shared" ca="1" si="5"/>
        <v>46.009562247317952</v>
      </c>
      <c r="H78" s="48">
        <f t="shared" ca="1" si="22"/>
        <v>47.049775750882269</v>
      </c>
      <c r="I78" s="48">
        <f t="shared" ca="1" si="23"/>
        <v>20.202883701285348</v>
      </c>
      <c r="P78" s="7"/>
    </row>
    <row r="79" spans="1:16" x14ac:dyDescent="0.2">
      <c r="A79" s="45" t="str">
        <f t="shared" ca="1" si="21"/>
        <v>03/31 at 22:00</v>
      </c>
      <c r="B79" s="46" t="str">
        <f t="shared" ca="1" si="20"/>
        <v>170331/2200</v>
      </c>
      <c r="C79" s="24">
        <v>293.2970079219225</v>
      </c>
      <c r="D79" s="24">
        <v>44.26082340782127</v>
      </c>
      <c r="E79" s="24">
        <v>-102.96551467928181</v>
      </c>
      <c r="F79" s="51" t="s">
        <v>28</v>
      </c>
      <c r="G79" s="38">
        <f t="shared" ref="G79:G97" ca="1" si="24">IF(B79=0,"--",0.621371*(1/1000)*ACOS( SIN($B$6*PI()/180)*SIN(D79*PI()/180) + COS($B$6*PI()/180)*COS(D79*PI()/180)*COS(E79*PI()/180-$C$6*PI()/180) ) * 6371000)</f>
        <v>41.835584343246744</v>
      </c>
      <c r="H79" s="48">
        <f t="shared" ca="1" si="22"/>
        <v>43.538844434965135</v>
      </c>
      <c r="I79" s="48">
        <f t="shared" ca="1" si="23"/>
        <v>20.424297396085482</v>
      </c>
      <c r="P79" s="7"/>
    </row>
    <row r="80" spans="1:16" x14ac:dyDescent="0.2">
      <c r="A80" s="45" t="str">
        <f t="shared" ca="1" si="21"/>
        <v>03/31 at 23:00</v>
      </c>
      <c r="B80" s="46" t="str">
        <f t="shared" ca="1" si="20"/>
        <v>170331/2300</v>
      </c>
      <c r="C80" s="24">
        <v>293.15373458457941</v>
      </c>
      <c r="D80" s="24">
        <v>44.193004047371602</v>
      </c>
      <c r="E80" s="24">
        <v>-102.95752738087884</v>
      </c>
      <c r="F80" s="51" t="s">
        <v>28</v>
      </c>
      <c r="G80" s="38">
        <f t="shared" ca="1" si="24"/>
        <v>38.551855661536273</v>
      </c>
      <c r="H80" s="48">
        <f t="shared" ca="1" si="22"/>
        <v>38.895185476390751</v>
      </c>
      <c r="I80" s="48">
        <f t="shared" ca="1" si="23"/>
        <v>18.227473204935457</v>
      </c>
      <c r="P80" s="7"/>
    </row>
    <row r="81" spans="1:16" x14ac:dyDescent="0.2">
      <c r="A81" s="45" t="str">
        <f t="shared" ca="1" si="21"/>
        <v>04/01 at 00:00</v>
      </c>
      <c r="B81" s="46" t="str">
        <f t="shared" ca="1" si="20"/>
        <v>170401/0000</v>
      </c>
      <c r="C81" s="24">
        <v>293.03752232134508</v>
      </c>
      <c r="D81" s="24">
        <v>44.117691981652484</v>
      </c>
      <c r="E81" s="24">
        <v>-102.95937904097168</v>
      </c>
      <c r="F81" s="51" t="s">
        <v>28</v>
      </c>
      <c r="G81" s="38">
        <f t="shared" ca="1" si="24"/>
        <v>35.741127595745965</v>
      </c>
      <c r="H81" s="48">
        <f t="shared" ca="1" si="22"/>
        <v>33.906916201291502</v>
      </c>
      <c r="I81" s="48">
        <f t="shared" ca="1" si="23"/>
        <v>16.499908076777277</v>
      </c>
      <c r="P81" s="7"/>
    </row>
    <row r="82" spans="1:16" x14ac:dyDescent="0.2">
      <c r="A82" s="45" t="str">
        <f t="shared" ca="1" si="21"/>
        <v>04/01 at 01:00</v>
      </c>
      <c r="B82" s="46" t="str">
        <f t="shared" ca="1" si="20"/>
        <v>170401/0100</v>
      </c>
      <c r="C82" s="24">
        <v>292.65062130953845</v>
      </c>
      <c r="D82" s="24">
        <v>44.061519354002982</v>
      </c>
      <c r="E82" s="24">
        <v>-102.98443280739814</v>
      </c>
      <c r="F82" s="51" t="s">
        <v>28</v>
      </c>
      <c r="G82" s="38">
        <f t="shared" ca="1" si="24"/>
        <v>35.08675408812352</v>
      </c>
      <c r="H82" s="48">
        <f t="shared" ca="1" si="22"/>
        <v>30.637183558085496</v>
      </c>
      <c r="I82" s="48">
        <f t="shared" ca="1" si="23"/>
        <v>15.037096450995739</v>
      </c>
      <c r="P82" s="7"/>
    </row>
    <row r="83" spans="1:16" x14ac:dyDescent="0.2">
      <c r="A83" s="45" t="str">
        <f t="shared" ca="1" si="21"/>
        <v>04/01 at 02:00</v>
      </c>
      <c r="B83" s="46" t="str">
        <f t="shared" ca="1" si="20"/>
        <v>170401/0200</v>
      </c>
      <c r="C83" s="24">
        <v>292.3749994999261</v>
      </c>
      <c r="D83" s="24">
        <v>44.005866465509811</v>
      </c>
      <c r="E83" s="24">
        <v>-103.01291958143446</v>
      </c>
      <c r="F83" s="51" t="s">
        <v>28</v>
      </c>
      <c r="G83" s="38">
        <f t="shared" ca="1" si="24"/>
        <v>35.075155993516319</v>
      </c>
      <c r="H83" s="48">
        <f t="shared" ca="1" si="22"/>
        <v>27.692727011968884</v>
      </c>
      <c r="I83" s="48">
        <f t="shared" ca="1" si="23"/>
        <v>14.426227553692346</v>
      </c>
      <c r="P83" s="7"/>
    </row>
    <row r="84" spans="1:16" x14ac:dyDescent="0.2">
      <c r="A84" s="45" t="str">
        <f t="shared" ca="1" si="21"/>
        <v>04/01 at 03:00</v>
      </c>
      <c r="B84" s="46" t="str">
        <f t="shared" ca="1" si="20"/>
        <v>170401/0300</v>
      </c>
      <c r="C84" s="24">
        <v>292.15174924421365</v>
      </c>
      <c r="D84" s="24">
        <v>43.960582859489776</v>
      </c>
      <c r="E84" s="24">
        <v>-103.05791285086006</v>
      </c>
      <c r="F84" s="51" t="s">
        <v>28</v>
      </c>
      <c r="G84" s="38">
        <f ca="1">IF(B84=0,"--",0.621371*(1/1000)*ACOS( SIN($B$6*PI()/180)*SIN(D84*PI()/180) + COS($B$6*PI()/180)*COS(D84*PI()/180)*COS(E84*PI()/180-$C$6*PI()/180) ) * 6371000)</f>
        <v>36.482651295157567</v>
      </c>
      <c r="H84" s="48">
        <f t="shared" ca="1" si="22"/>
        <v>26.128825621667662</v>
      </c>
      <c r="I84" s="48">
        <f t="shared" ca="1" si="23"/>
        <v>13.86995460395554</v>
      </c>
      <c r="P84" s="7"/>
    </row>
    <row r="85" spans="1:16" x14ac:dyDescent="0.2">
      <c r="A85" s="45" t="str">
        <f t="shared" ca="1" si="21"/>
        <v>04/01 at 04:00</v>
      </c>
      <c r="B85" s="46" t="str">
        <f t="shared" ca="1" si="20"/>
        <v>170401/0400</v>
      </c>
      <c r="C85" s="24">
        <v>291.88308840852545</v>
      </c>
      <c r="D85" s="24">
        <v>43.96317137618891</v>
      </c>
      <c r="E85" s="24">
        <v>-103.10920132448061</v>
      </c>
      <c r="F85" s="51" t="s">
        <v>28</v>
      </c>
      <c r="G85" s="38">
        <f t="shared" ca="1" si="24"/>
        <v>39.020756125668726</v>
      </c>
      <c r="H85" s="48">
        <f t="shared" ca="1" si="22"/>
        <v>27.785806384436185</v>
      </c>
      <c r="I85" s="48">
        <f t="shared" ca="1" si="23"/>
        <v>11.752431169447908</v>
      </c>
      <c r="P85" s="7"/>
    </row>
    <row r="86" spans="1:16" x14ac:dyDescent="0.2">
      <c r="A86" s="45" t="str">
        <f t="shared" ca="1" si="21"/>
        <v>04/01 at 05:00</v>
      </c>
      <c r="B86" s="46" t="str">
        <f t="shared" ca="1" si="20"/>
        <v>170401/0500</v>
      </c>
      <c r="C86" s="24">
        <v>291.69991842112643</v>
      </c>
      <c r="D86" s="24">
        <v>43.974483808681363</v>
      </c>
      <c r="E86" s="24">
        <v>-103.10452026478004</v>
      </c>
      <c r="F86" s="51" t="s">
        <v>28</v>
      </c>
      <c r="G86" s="38">
        <f t="shared" ca="1" si="24"/>
        <v>38.946101532519407</v>
      </c>
      <c r="H86" s="48">
        <f ca="1">IF(B86=0,"--",0.621371*(1/1000)*ACOS( SIN($B$7*PI()/180)*SIN(D86*PI()/180) + COS($B$7*PI()/180)*COS(D86*PI()/180)*COS(E86*PI()/180-$C$7*PI()/180) ) * 6371000)</f>
        <v>28.261236724214822</v>
      </c>
      <c r="I86" s="48">
        <f t="shared" ca="1" si="23"/>
        <v>11.43361452973882</v>
      </c>
      <c r="P86" s="7"/>
    </row>
    <row r="87" spans="1:16" x14ac:dyDescent="0.2">
      <c r="A87" s="45" t="str">
        <f t="shared" ca="1" si="21"/>
        <v>04/01 at 06:00</v>
      </c>
      <c r="B87" s="46" t="str">
        <f t="shared" ca="1" si="20"/>
        <v>170401/0600</v>
      </c>
      <c r="C87" s="24">
        <v>291.6170201008245</v>
      </c>
      <c r="D87" s="24">
        <v>43.992526048772127</v>
      </c>
      <c r="E87" s="24">
        <v>-103.08616530727696</v>
      </c>
      <c r="F87" s="51" t="s">
        <v>28</v>
      </c>
      <c r="G87" s="38">
        <f t="shared" ca="1" si="24"/>
        <v>38.337037730781546</v>
      </c>
      <c r="H87" s="48">
        <f t="shared" ref="H87:H101" ca="1" si="25">IF(B87=0,"--",0.621371*(1/1000)*ACOS( SIN($B$7*PI()/180)*SIN(D87*PI()/180) + COS($B$7*PI()/180)*COS(D87*PI()/180)*COS(E87*PI()/180-$C$7*PI()/180) ) * 6371000)</f>
        <v>28.743844951481389</v>
      </c>
      <c r="I87" s="48">
        <f t="shared" ca="1" si="23"/>
        <v>11.496512296801072</v>
      </c>
      <c r="P87" s="7"/>
    </row>
    <row r="88" spans="1:16" x14ac:dyDescent="0.2">
      <c r="A88" s="45" t="str">
        <f t="shared" ca="1" si="21"/>
        <v>04/01 at 07:00</v>
      </c>
      <c r="B88" s="46" t="str">
        <f t="shared" ca="1" si="20"/>
        <v>170401/0700</v>
      </c>
      <c r="C88" s="24">
        <v>291.58418163713304</v>
      </c>
      <c r="D88" s="24">
        <v>44.00547314116691</v>
      </c>
      <c r="E88" s="24">
        <v>-103.06249767751682</v>
      </c>
      <c r="F88" s="51" t="s">
        <v>28</v>
      </c>
      <c r="G88" s="38">
        <f t="shared" ca="1" si="24"/>
        <v>37.430982878951433</v>
      </c>
      <c r="H88" s="48">
        <f t="shared" ca="1" si="25"/>
        <v>28.862614516408769</v>
      </c>
      <c r="I88" s="48">
        <f t="shared" ca="1" si="23"/>
        <v>12.143984689039153</v>
      </c>
      <c r="P88" s="7"/>
    </row>
    <row r="89" spans="1:16" x14ac:dyDescent="0.2">
      <c r="A89" s="45" t="str">
        <f t="shared" ca="1" si="21"/>
        <v>04/01 at 08:00</v>
      </c>
      <c r="B89" s="46" t="str">
        <f t="shared" ca="1" si="20"/>
        <v>170401/0800</v>
      </c>
      <c r="C89" s="24">
        <v>291.45016988705447</v>
      </c>
      <c r="D89" s="24">
        <v>44.011801566327527</v>
      </c>
      <c r="E89" s="24">
        <v>-103.03758897217628</v>
      </c>
      <c r="F89" s="51" t="s">
        <v>28</v>
      </c>
      <c r="G89" s="38">
        <f t="shared" ca="1" si="24"/>
        <v>36.367423249381339</v>
      </c>
      <c r="H89" s="48">
        <f t="shared" ca="1" si="25"/>
        <v>28.625146507645685</v>
      </c>
      <c r="I89" s="48">
        <f t="shared" ca="1" si="23"/>
        <v>13.133798422097795</v>
      </c>
      <c r="P89" s="7"/>
    </row>
    <row r="90" spans="1:16" x14ac:dyDescent="0.2">
      <c r="A90" s="45" t="str">
        <f t="shared" ca="1" si="21"/>
        <v>04/01 at 09:00</v>
      </c>
      <c r="B90" s="46" t="str">
        <f t="shared" ca="1" si="20"/>
        <v>170401/0900</v>
      </c>
      <c r="C90" s="24">
        <v>291.3878526147621</v>
      </c>
      <c r="D90" s="24">
        <v>43.991443888454967</v>
      </c>
      <c r="E90" s="24">
        <v>-102.98551243418252</v>
      </c>
      <c r="F90" s="51" t="s">
        <v>28</v>
      </c>
      <c r="G90" s="38">
        <f t="shared" ca="1" si="24"/>
        <v>33.485540304422244</v>
      </c>
      <c r="H90" s="48">
        <f t="shared" ca="1" si="25"/>
        <v>26.201280409079462</v>
      </c>
      <c r="I90" s="48">
        <f t="shared" ca="1" si="23"/>
        <v>16.051142999848537</v>
      </c>
      <c r="P90" s="7"/>
    </row>
    <row r="91" spans="1:16" x14ac:dyDescent="0.2">
      <c r="A91" s="45" t="str">
        <f t="shared" ca="1" si="21"/>
        <v>04/01 at 10:00</v>
      </c>
      <c r="B91" s="46" t="str">
        <f t="shared" ca="1" si="20"/>
        <v>170401/1000</v>
      </c>
      <c r="C91" s="24">
        <v>291.23980870439664</v>
      </c>
      <c r="D91" s="24">
        <v>43.93499674547823</v>
      </c>
      <c r="E91" s="24">
        <v>-102.91673998510102</v>
      </c>
      <c r="F91" s="51" t="s">
        <v>28</v>
      </c>
      <c r="G91" s="38">
        <f t="shared" ca="1" si="24"/>
        <v>29.251968496569546</v>
      </c>
      <c r="H91" s="48">
        <f t="shared" ca="1" si="25"/>
        <v>21.270207506574064</v>
      </c>
      <c r="I91" s="48">
        <f t="shared" ca="1" si="23"/>
        <v>20.794618845814433</v>
      </c>
      <c r="P91" s="7"/>
    </row>
    <row r="92" spans="1:16" x14ac:dyDescent="0.2">
      <c r="A92" s="45" t="str">
        <f t="shared" ca="1" si="21"/>
        <v>04/01 at 11:00</v>
      </c>
      <c r="B92" s="46" t="str">
        <f t="shared" ca="1" si="20"/>
        <v>170401/1100</v>
      </c>
      <c r="C92" s="24">
        <v>290.97084795095924</v>
      </c>
      <c r="D92" s="24">
        <v>43.868216169448509</v>
      </c>
      <c r="E92" s="24">
        <v>-102.88345091015013</v>
      </c>
      <c r="F92" s="51" t="s">
        <v>28</v>
      </c>
      <c r="G92" s="38">
        <f t="shared" ca="1" si="24"/>
        <v>27.102557937981121</v>
      </c>
      <c r="H92" s="48">
        <f t="shared" ca="1" si="25"/>
        <v>16.369196907395505</v>
      </c>
      <c r="I92" s="48">
        <f t="shared" ca="1" si="23"/>
        <v>24.64506984841486</v>
      </c>
      <c r="P92" s="7"/>
    </row>
    <row r="93" spans="1:16" x14ac:dyDescent="0.2">
      <c r="A93" s="45" t="str">
        <f t="shared" ca="1" si="21"/>
        <v>04/01 at 12:00</v>
      </c>
      <c r="B93" s="46" t="str">
        <f t="shared" ca="1" si="20"/>
        <v>170401/1200</v>
      </c>
      <c r="C93" s="24">
        <v>290.43061263590363</v>
      </c>
      <c r="D93" s="24">
        <v>43.825784638684354</v>
      </c>
      <c r="E93" s="24">
        <v>-102.84389945917555</v>
      </c>
      <c r="F93" s="51" t="s">
        <v>28</v>
      </c>
      <c r="G93" s="38">
        <f t="shared" ca="1" si="24"/>
        <v>25.20987271082409</v>
      </c>
      <c r="H93" s="48">
        <f t="shared" ca="1" si="25"/>
        <v>12.942445509192764</v>
      </c>
      <c r="I93" s="48">
        <f t="shared" ca="1" si="23"/>
        <v>27.983488543308447</v>
      </c>
      <c r="P93" s="7"/>
    </row>
    <row r="94" spans="1:16" x14ac:dyDescent="0.2">
      <c r="A94" s="45" t="s">
        <v>46</v>
      </c>
      <c r="B94" s="46">
        <f t="shared" ca="1" si="20"/>
        <v>0</v>
      </c>
      <c r="C94" s="24" t="s">
        <v>47</v>
      </c>
      <c r="D94" s="24" t="s">
        <v>47</v>
      </c>
      <c r="E94" s="24" t="s">
        <v>47</v>
      </c>
      <c r="F94" s="51" t="s">
        <v>47</v>
      </c>
      <c r="G94" s="38" t="str">
        <f t="shared" ca="1" si="24"/>
        <v>--</v>
      </c>
      <c r="H94" s="48" t="str">
        <f t="shared" ca="1" si="25"/>
        <v>--</v>
      </c>
      <c r="I94" s="48" t="str">
        <f ca="1">IF(B94=0,"--",0.621371*(1/1000)*ACOS( SIN($B$5*PI()/180)*SIN(D94*PI()/180) + COS($B$5*PI()/180)*COS(D94*PI()/180)*COS(E94*PI()/180-$C$5*PI()/180) ) * 6371000)</f>
        <v>--</v>
      </c>
      <c r="P94" s="7"/>
    </row>
    <row r="95" spans="1:16" x14ac:dyDescent="0.2">
      <c r="A95" s="45" t="s">
        <v>46</v>
      </c>
      <c r="B95" s="46">
        <f t="shared" ca="1" si="20"/>
        <v>0</v>
      </c>
      <c r="C95" s="24" t="s">
        <v>47</v>
      </c>
      <c r="D95" s="24" t="s">
        <v>47</v>
      </c>
      <c r="E95" s="24" t="s">
        <v>47</v>
      </c>
      <c r="F95" s="51" t="s">
        <v>47</v>
      </c>
      <c r="G95" s="38" t="str">
        <f t="shared" ca="1" si="24"/>
        <v>--</v>
      </c>
      <c r="H95" s="48" t="str">
        <f t="shared" ca="1" si="25"/>
        <v>--</v>
      </c>
      <c r="I95" s="48" t="str">
        <f t="shared" ref="I95:I108" ca="1" si="26">IF(B95=0,"--",0.621371*(1/1000)*ACOS( SIN($B$5*PI()/180)*SIN(D95*PI()/180) + COS($B$5*PI()/180)*COS(D95*PI()/180)*COS(E95*PI()/180-$C$5*PI()/180) ) * 6371000)</f>
        <v>--</v>
      </c>
      <c r="P95" s="7"/>
    </row>
    <row r="96" spans="1:16" x14ac:dyDescent="0.2">
      <c r="A96" s="45" t="s">
        <v>46</v>
      </c>
      <c r="B96" s="46">
        <f t="shared" ca="1" si="20"/>
        <v>0</v>
      </c>
      <c r="C96" s="24" t="s">
        <v>47</v>
      </c>
      <c r="D96" s="24" t="s">
        <v>47</v>
      </c>
      <c r="E96" s="24" t="s">
        <v>47</v>
      </c>
      <c r="F96" s="25" t="s">
        <v>47</v>
      </c>
      <c r="G96" s="38" t="str">
        <f ca="1">IF(B96=0,"--",0.621371*(1/1000)*ACOS( SIN($B$6*PI()/180)*SIN(D96*PI()/180) + COS($B$6*PI()/180)*COS(D96*PI()/180)*COS(E96*PI()/180-$C$6*PI()/180) ) * 6371000)</f>
        <v>--</v>
      </c>
      <c r="H96" s="48" t="str">
        <f t="shared" ca="1" si="25"/>
        <v>--</v>
      </c>
      <c r="I96" s="48" t="str">
        <f t="shared" ca="1" si="26"/>
        <v>--</v>
      </c>
      <c r="P96" s="7"/>
    </row>
    <row r="97" spans="1:16" x14ac:dyDescent="0.2">
      <c r="A97" s="45" t="s">
        <v>46</v>
      </c>
      <c r="B97" s="46">
        <f t="shared" ca="1" si="20"/>
        <v>0</v>
      </c>
      <c r="C97" s="24" t="s">
        <v>47</v>
      </c>
      <c r="D97" s="24" t="s">
        <v>47</v>
      </c>
      <c r="E97" s="24" t="s">
        <v>47</v>
      </c>
      <c r="F97" s="25" t="s">
        <v>47</v>
      </c>
      <c r="G97" s="38" t="str">
        <f t="shared" ca="1" si="24"/>
        <v>--</v>
      </c>
      <c r="H97" s="48" t="str">
        <f t="shared" ca="1" si="25"/>
        <v>--</v>
      </c>
      <c r="I97" s="48" t="str">
        <f t="shared" ca="1" si="26"/>
        <v>--</v>
      </c>
      <c r="P97" s="7"/>
    </row>
    <row r="98" spans="1:16" x14ac:dyDescent="0.2">
      <c r="A98" s="45" t="s">
        <v>46</v>
      </c>
      <c r="B98" s="46">
        <f t="shared" ca="1" si="20"/>
        <v>0</v>
      </c>
      <c r="C98" s="24" t="s">
        <v>47</v>
      </c>
      <c r="D98" s="24" t="s">
        <v>47</v>
      </c>
      <c r="E98" s="24" t="s">
        <v>47</v>
      </c>
      <c r="F98" s="25" t="s">
        <v>47</v>
      </c>
      <c r="G98" s="38" t="str">
        <f ca="1">IF(B98=0,"--",0.621371*(1/1000)*ACOS( SIN($B$6*PI()/180)*SIN(D98*PI()/180) + COS($B$6*PI()/180)*COS(D98*PI()/180)*COS(E98*PI()/180-$C$6*PI()/180) ) * 6371000)</f>
        <v>--</v>
      </c>
      <c r="H98" s="48" t="str">
        <f t="shared" ca="1" si="25"/>
        <v>--</v>
      </c>
      <c r="I98" s="48" t="str">
        <f t="shared" ca="1" si="26"/>
        <v>--</v>
      </c>
      <c r="P98" s="7"/>
    </row>
    <row r="99" spans="1:16" x14ac:dyDescent="0.2">
      <c r="A99" s="45" t="s">
        <v>46</v>
      </c>
      <c r="B99" s="46">
        <f t="shared" ca="1" si="20"/>
        <v>0</v>
      </c>
      <c r="C99" s="24" t="s">
        <v>47</v>
      </c>
      <c r="D99" s="24" t="s">
        <v>47</v>
      </c>
      <c r="E99" s="24" t="s">
        <v>47</v>
      </c>
      <c r="F99" s="25" t="s">
        <v>47</v>
      </c>
      <c r="G99" s="38" t="str">
        <f t="shared" ref="G99:G108" ca="1" si="27">IF(B99=0,"--",0.621371*(1/1000)*ACOS( SIN($B$6*PI()/180)*SIN(D99*PI()/180) + COS($B$6*PI()/180)*COS(D99*PI()/180)*COS(E99*PI()/180-$C$6*PI()/180) ) * 6371000)</f>
        <v>--</v>
      </c>
      <c r="H99" s="48" t="str">
        <f t="shared" ca="1" si="25"/>
        <v>--</v>
      </c>
      <c r="I99" s="48" t="str">
        <f t="shared" ca="1" si="26"/>
        <v>--</v>
      </c>
    </row>
    <row r="100" spans="1:16" x14ac:dyDescent="0.2">
      <c r="A100" s="45" t="s">
        <v>46</v>
      </c>
      <c r="B100" s="46">
        <f t="shared" ca="1" si="20"/>
        <v>0</v>
      </c>
      <c r="C100" s="24" t="s">
        <v>47</v>
      </c>
      <c r="D100" s="24" t="s">
        <v>47</v>
      </c>
      <c r="E100" s="24" t="s">
        <v>47</v>
      </c>
      <c r="F100" s="25" t="s">
        <v>47</v>
      </c>
      <c r="G100" s="38" t="str">
        <f t="shared" ca="1" si="27"/>
        <v>--</v>
      </c>
      <c r="H100" s="48" t="str">
        <f t="shared" ca="1" si="25"/>
        <v>--</v>
      </c>
      <c r="I100" s="48" t="str">
        <f t="shared" ca="1" si="26"/>
        <v>--</v>
      </c>
    </row>
    <row r="101" spans="1:16" x14ac:dyDescent="0.2">
      <c r="A101" s="45" t="s">
        <v>46</v>
      </c>
      <c r="B101" s="46">
        <f t="shared" ca="1" si="20"/>
        <v>0</v>
      </c>
      <c r="C101" s="24" t="s">
        <v>47</v>
      </c>
      <c r="D101" s="24" t="s">
        <v>47</v>
      </c>
      <c r="E101" s="24" t="s">
        <v>47</v>
      </c>
      <c r="F101" s="25" t="s">
        <v>47</v>
      </c>
      <c r="G101" s="38" t="str">
        <f t="shared" ca="1" si="27"/>
        <v>--</v>
      </c>
      <c r="H101" s="48" t="str">
        <f t="shared" ca="1" si="25"/>
        <v>--</v>
      </c>
      <c r="I101" s="48" t="str">
        <f t="shared" ca="1" si="26"/>
        <v>--</v>
      </c>
    </row>
    <row r="102" spans="1:16" x14ac:dyDescent="0.2">
      <c r="A102" s="23" t="s">
        <v>46</v>
      </c>
      <c r="B102" s="46">
        <f t="shared" ca="1" si="20"/>
        <v>0</v>
      </c>
      <c r="C102" s="24" t="s">
        <v>47</v>
      </c>
      <c r="D102" s="24" t="s">
        <v>47</v>
      </c>
      <c r="E102" s="24" t="s">
        <v>47</v>
      </c>
      <c r="F102" s="25" t="s">
        <v>47</v>
      </c>
      <c r="G102" s="38" t="str">
        <f t="shared" ca="1" si="27"/>
        <v>--</v>
      </c>
      <c r="H102" s="48" t="str">
        <f ca="1">IF(B102=0,"--",0.621371*(1/1000)*ACOS( SIN($B$7*PI()/180)*SIN(D102*PI()/180) + COS($B$7*PI()/180)*COS(D102*PI()/180)*COS(E102*PI()/180-$C$7*PI()/180) ) * 6371000)</f>
        <v>--</v>
      </c>
      <c r="I102" s="48" t="str">
        <f t="shared" ca="1" si="26"/>
        <v>--</v>
      </c>
    </row>
    <row r="103" spans="1:16" x14ac:dyDescent="0.2">
      <c r="A103" s="23" t="s">
        <v>46</v>
      </c>
      <c r="B103" s="46">
        <f t="shared" ca="1" si="20"/>
        <v>0</v>
      </c>
      <c r="C103" s="24" t="s">
        <v>47</v>
      </c>
      <c r="D103" s="24" t="s">
        <v>47</v>
      </c>
      <c r="E103" s="24" t="s">
        <v>47</v>
      </c>
      <c r="F103" s="25" t="s">
        <v>47</v>
      </c>
      <c r="G103" s="38" t="str">
        <f t="shared" ca="1" si="27"/>
        <v>--</v>
      </c>
      <c r="H103" s="48" t="str">
        <f t="shared" ref="H103:H108" ca="1" si="28">IF(B103=0,"--",0.621371*(1/1000)*ACOS( SIN($B$7*PI()/180)*SIN(D103*PI()/180) + COS($B$7*PI()/180)*COS(D103*PI()/180)*COS(E103*PI()/180-$C$7*PI()/180) ) * 6371000)</f>
        <v>--</v>
      </c>
      <c r="I103" s="48" t="str">
        <f t="shared" ca="1" si="26"/>
        <v>--</v>
      </c>
    </row>
    <row r="104" spans="1:16" x14ac:dyDescent="0.2">
      <c r="A104" s="23" t="s">
        <v>46</v>
      </c>
      <c r="B104" s="46">
        <f t="shared" ca="1" si="20"/>
        <v>0</v>
      </c>
      <c r="C104" s="24" t="s">
        <v>47</v>
      </c>
      <c r="D104" s="24" t="s">
        <v>47</v>
      </c>
      <c r="E104" s="24" t="s">
        <v>47</v>
      </c>
      <c r="F104" s="25" t="s">
        <v>47</v>
      </c>
      <c r="G104" s="38" t="str">
        <f t="shared" ca="1" si="27"/>
        <v>--</v>
      </c>
      <c r="H104" s="48" t="str">
        <f t="shared" ca="1" si="28"/>
        <v>--</v>
      </c>
      <c r="I104" s="48" t="str">
        <f t="shared" ca="1" si="26"/>
        <v>--</v>
      </c>
    </row>
    <row r="105" spans="1:16" x14ac:dyDescent="0.2">
      <c r="A105" s="23" t="s">
        <v>46</v>
      </c>
      <c r="B105" s="46">
        <f t="shared" ca="1" si="20"/>
        <v>0</v>
      </c>
      <c r="C105" s="24" t="s">
        <v>47</v>
      </c>
      <c r="D105" s="24" t="s">
        <v>47</v>
      </c>
      <c r="E105" s="24" t="s">
        <v>47</v>
      </c>
      <c r="F105" s="25" t="s">
        <v>47</v>
      </c>
      <c r="G105" s="38" t="str">
        <f t="shared" ca="1" si="27"/>
        <v>--</v>
      </c>
      <c r="H105" s="48" t="str">
        <f t="shared" ca="1" si="28"/>
        <v>--</v>
      </c>
      <c r="I105" s="48" t="str">
        <f t="shared" ca="1" si="26"/>
        <v>--</v>
      </c>
    </row>
    <row r="106" spans="1:16" x14ac:dyDescent="0.2">
      <c r="A106" s="23" t="s">
        <v>46</v>
      </c>
      <c r="B106" s="46">
        <f t="shared" ca="1" si="20"/>
        <v>0</v>
      </c>
      <c r="C106" s="24" t="s">
        <v>47</v>
      </c>
      <c r="D106" s="24" t="s">
        <v>47</v>
      </c>
      <c r="E106" s="24" t="s">
        <v>47</v>
      </c>
      <c r="F106" s="25" t="s">
        <v>47</v>
      </c>
      <c r="G106" s="38" t="str">
        <f t="shared" ca="1" si="27"/>
        <v>--</v>
      </c>
      <c r="H106" s="48" t="str">
        <f t="shared" ca="1" si="28"/>
        <v>--</v>
      </c>
      <c r="I106" s="48" t="str">
        <f t="shared" ca="1" si="26"/>
        <v>--</v>
      </c>
    </row>
    <row r="107" spans="1:16" x14ac:dyDescent="0.2">
      <c r="A107" s="23" t="s">
        <v>46</v>
      </c>
      <c r="B107" s="46">
        <f t="shared" ca="1" si="20"/>
        <v>0</v>
      </c>
      <c r="C107" s="24" t="s">
        <v>47</v>
      </c>
      <c r="D107" s="24" t="s">
        <v>47</v>
      </c>
      <c r="E107" s="24" t="s">
        <v>47</v>
      </c>
      <c r="F107" s="25" t="s">
        <v>47</v>
      </c>
      <c r="G107" s="38" t="str">
        <f t="shared" ca="1" si="27"/>
        <v>--</v>
      </c>
      <c r="H107" s="48" t="str">
        <f t="shared" ca="1" si="28"/>
        <v>--</v>
      </c>
      <c r="I107" s="48" t="str">
        <f t="shared" ca="1" si="26"/>
        <v>--</v>
      </c>
    </row>
    <row r="108" spans="1:16" x14ac:dyDescent="0.2">
      <c r="A108" s="23" t="s">
        <v>46</v>
      </c>
      <c r="B108" s="46">
        <f t="shared" ca="1" si="20"/>
        <v>0</v>
      </c>
      <c r="C108" s="24" t="s">
        <v>47</v>
      </c>
      <c r="D108" s="24" t="s">
        <v>47</v>
      </c>
      <c r="E108" s="24" t="s">
        <v>47</v>
      </c>
      <c r="F108" s="25" t="s">
        <v>47</v>
      </c>
      <c r="G108" s="38" t="str">
        <f t="shared" ca="1" si="27"/>
        <v>--</v>
      </c>
      <c r="H108" s="48" t="str">
        <f t="shared" ca="1" si="28"/>
        <v>--</v>
      </c>
      <c r="I108" s="48" t="str">
        <f t="shared" ca="1" si="26"/>
        <v>--</v>
      </c>
    </row>
    <row r="109" spans="1:16" x14ac:dyDescent="0.2">
      <c r="A109" s="45" t="s">
        <v>69</v>
      </c>
      <c r="B109" s="24"/>
      <c r="C109" s="24">
        <f>AVERAGE(C11:C108)</f>
        <v>296.14095425171257</v>
      </c>
      <c r="D109" s="24">
        <f t="shared" ref="D109:I109" si="29">AVERAGE(D11:D108)</f>
        <v>44.209278054792044</v>
      </c>
      <c r="E109" s="24">
        <f t="shared" si="29"/>
        <v>-102.16657211898394</v>
      </c>
      <c r="F109" s="67" t="s">
        <v>47</v>
      </c>
      <c r="G109" s="24">
        <f t="shared" ca="1" si="29"/>
        <v>44.42234895431104</v>
      </c>
      <c r="H109" s="24">
        <f t="shared" ca="1" si="29"/>
        <v>58.221709854690232</v>
      </c>
      <c r="I109" s="24">
        <f t="shared" ca="1" si="29"/>
        <v>61.166030902777713</v>
      </c>
    </row>
  </sheetData>
  <mergeCells count="5">
    <mergeCell ref="D10:E10"/>
    <mergeCell ref="A1:C2"/>
    <mergeCell ref="E1:F2"/>
    <mergeCell ref="G1:G6"/>
    <mergeCell ref="D1:D6"/>
  </mergeCells>
  <phoneticPr fontId="9" type="noConversion"/>
  <conditionalFormatting sqref="G1:G108 G110:G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H1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1" r:id="rId1"/>
    <hyperlink ref="F12" r:id="rId2"/>
    <hyperlink ref="F13" r:id="rId3"/>
    <hyperlink ref="F14" r:id="rId4"/>
    <hyperlink ref="F15" r:id="rId5"/>
    <hyperlink ref="F16" r:id="rId6"/>
    <hyperlink ref="F17" r:id="rId7"/>
    <hyperlink ref="F18" r:id="rId8"/>
    <hyperlink ref="F19" r:id="rId9"/>
    <hyperlink ref="F20" r:id="rId10"/>
    <hyperlink ref="F21" r:id="rId11"/>
    <hyperlink ref="F22" r:id="rId12"/>
    <hyperlink ref="F23" r:id="rId13"/>
    <hyperlink ref="F24" r:id="rId14"/>
    <hyperlink ref="F25" r:id="rId15"/>
    <hyperlink ref="F26" r:id="rId16"/>
    <hyperlink ref="F27" r:id="rId17"/>
    <hyperlink ref="F28" r:id="rId18"/>
    <hyperlink ref="F29" r:id="rId19"/>
    <hyperlink ref="F30" r:id="rId20"/>
    <hyperlink ref="F31" r:id="rId21"/>
    <hyperlink ref="F32" r:id="rId22"/>
    <hyperlink ref="F33" r:id="rId23"/>
    <hyperlink ref="F34" r:id="rId24"/>
    <hyperlink ref="F35" r:id="rId25"/>
    <hyperlink ref="F36" r:id="rId26"/>
    <hyperlink ref="F37" r:id="rId27"/>
    <hyperlink ref="F38" r:id="rId28"/>
    <hyperlink ref="F39" r:id="rId29"/>
    <hyperlink ref="F40" r:id="rId30"/>
    <hyperlink ref="F41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49" r:id="rId39"/>
    <hyperlink ref="F50" r:id="rId40"/>
    <hyperlink ref="F51" r:id="rId41"/>
    <hyperlink ref="F52" r:id="rId42"/>
    <hyperlink ref="F53" r:id="rId43"/>
    <hyperlink ref="F54" r:id="rId44"/>
    <hyperlink ref="F55" r:id="rId45"/>
    <hyperlink ref="F56" r:id="rId46"/>
    <hyperlink ref="F57" r:id="rId47"/>
    <hyperlink ref="F58" r:id="rId48"/>
    <hyperlink ref="F59" r:id="rId49"/>
    <hyperlink ref="F60" r:id="rId50"/>
    <hyperlink ref="F61" r:id="rId51"/>
    <hyperlink ref="F62" r:id="rId52"/>
    <hyperlink ref="F63" r:id="rId53"/>
    <hyperlink ref="F64" r:id="rId54"/>
    <hyperlink ref="F65" r:id="rId55"/>
    <hyperlink ref="F66" r:id="rId56"/>
    <hyperlink ref="F67" r:id="rId57"/>
    <hyperlink ref="F68" r:id="rId58"/>
    <hyperlink ref="F69" r:id="rId59"/>
    <hyperlink ref="F70" r:id="rId60"/>
    <hyperlink ref="F71" r:id="rId61"/>
    <hyperlink ref="F72" r:id="rId62"/>
    <hyperlink ref="F73" r:id="rId63"/>
    <hyperlink ref="F74" r:id="rId64"/>
    <hyperlink ref="F75" r:id="rId65"/>
    <hyperlink ref="F76" r:id="rId66"/>
    <hyperlink ref="F77" r:id="rId67"/>
    <hyperlink ref="F78" r:id="rId68"/>
    <hyperlink ref="F79" r:id="rId69"/>
    <hyperlink ref="F80" r:id="rId70"/>
    <hyperlink ref="F81" r:id="rId71"/>
    <hyperlink ref="F82" r:id="rId72"/>
    <hyperlink ref="F83" r:id="rId73"/>
    <hyperlink ref="F84" r:id="rId74"/>
    <hyperlink ref="F85" r:id="rId75"/>
    <hyperlink ref="F86" r:id="rId76"/>
    <hyperlink ref="F87" r:id="rId77"/>
    <hyperlink ref="F88" r:id="rId78"/>
    <hyperlink ref="F89" r:id="rId79"/>
    <hyperlink ref="F90" r:id="rId80"/>
    <hyperlink ref="F91" r:id="rId81"/>
    <hyperlink ref="F92" r:id="rId82"/>
    <hyperlink ref="F93" r:id="rId83"/>
    <hyperlink ref="F94" r:id="rId84" display="Google Maps"/>
    <hyperlink ref="F95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8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A1:H6 A7 D7:H7 A8:H108 A110:H1048576 A109:I109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25" zoomScaleNormal="115" zoomScalePageLayoutView="115" workbookViewId="0">
      <selection activeCell="B25" sqref="B25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https://www.google.com/maps/place/43.8257846386844N102.843899459176W</v>
      </c>
      <c r="E1" s="4" t="s">
        <v>50</v>
      </c>
      <c r="F1" s="3"/>
      <c r="I1" t="s">
        <v>4</v>
      </c>
    </row>
    <row r="2" spans="1:26" x14ac:dyDescent="0.2">
      <c r="A2" t="s">
        <v>25</v>
      </c>
      <c r="C2" t="s">
        <v>62</v>
      </c>
    </row>
    <row r="3" spans="1:26" x14ac:dyDescent="0.2">
      <c r="A3" t="s">
        <v>2</v>
      </c>
      <c r="B3" t="s">
        <v>0</v>
      </c>
      <c r="C3" t="s">
        <v>1</v>
      </c>
      <c r="E3" t="s">
        <v>51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52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</v>
      </c>
      <c r="N4">
        <f>(A5-A4)/J4</f>
        <v>324.06287370645083</v>
      </c>
      <c r="P4">
        <f>SUM(N5:N64)/60</f>
        <v>135.01406016505703</v>
      </c>
      <c r="R4">
        <f>(A5)/L4</f>
        <v>315.57333333333332</v>
      </c>
      <c r="T4">
        <f>SUM(R5:R63)/60</f>
        <v>128.8308637493333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53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3.0000000000000004</v>
      </c>
      <c r="N5">
        <f>(A6-A5)/J5</f>
        <v>11.808850715780373</v>
      </c>
      <c r="R5">
        <f>(A6-A5)/L5:L99</f>
        <v>11.853333333333314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28.367787984121467</v>
      </c>
      <c r="Z5">
        <f t="shared" si="1"/>
        <v>-47.286673669179642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54</v>
      </c>
      <c r="F6">
        <f>HOME!F7</f>
        <v>3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3.0023818722346203</v>
      </c>
      <c r="N6">
        <f>(A7-A6)/J6</f>
        <v>12.144574153843443</v>
      </c>
      <c r="R6">
        <f t="shared" ref="R6:R63" si="5">(A7-A6)/L6:L99</f>
        <v>12.190321403972268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36.516095284155178</v>
      </c>
      <c r="Z6">
        <f t="shared" si="1"/>
        <v>-80.350131443916951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55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3.0042819583521618</v>
      </c>
      <c r="N7">
        <f t="shared" ref="N7:N70" si="7">(A8-A7)/J7:J101</f>
        <v>12.186634570353721</v>
      </c>
      <c r="R7">
        <f t="shared" si="5"/>
        <v>12.232540257358986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39.050889092782008</v>
      </c>
      <c r="Z7">
        <f t="shared" si="1"/>
        <v>-100.05713783622679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3.0067427900483046</v>
      </c>
      <c r="N8">
        <f t="shared" si="7"/>
        <v>12.531191910749886</v>
      </c>
      <c r="R8">
        <f t="shared" si="5"/>
        <v>12.578395506651349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40.168870779775801</v>
      </c>
      <c r="Z8">
        <f t="shared" si="1"/>
        <v>-123.0422414247025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3.008722239173931</v>
      </c>
      <c r="N9">
        <f t="shared" si="7"/>
        <v>12.867312097628384</v>
      </c>
      <c r="R9">
        <f t="shared" si="5"/>
        <v>12.915781820614065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43.804094477324782</v>
      </c>
      <c r="Z9">
        <f t="shared" si="1"/>
        <v>-134.01879550496199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56</v>
      </c>
      <c r="I10">
        <f t="shared" si="2"/>
        <v>1.1290634359265894</v>
      </c>
      <c r="J10">
        <f t="shared" si="3"/>
        <v>3.0217426181981617</v>
      </c>
      <c r="L10">
        <f t="shared" si="4"/>
        <v>3.0104027682632295</v>
      </c>
      <c r="N10">
        <f t="shared" si="7"/>
        <v>12.906459923199996</v>
      </c>
      <c r="R10">
        <f t="shared" si="5"/>
        <v>12.955077111658383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43.953774846955532</v>
      </c>
      <c r="Z10">
        <f t="shared" si="1"/>
        <v>-131.89929862370494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3.0124628978062611</v>
      </c>
      <c r="N11">
        <f t="shared" si="7"/>
        <v>13.552436533748295</v>
      </c>
      <c r="R11">
        <f t="shared" si="5"/>
        <v>13.603487043721772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43.454235982997155</v>
      </c>
      <c r="Z11">
        <f t="shared" si="1"/>
        <v>-138.49320369440332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50">
        <f>44.075821+((SUM(Z5:Z64)+D87)/111045)</f>
        <v>43.825784638684354</v>
      </c>
      <c r="F12" s="50" t="s">
        <v>57</v>
      </c>
      <c r="I12">
        <f t="shared" si="2"/>
        <v>1.119950408320217</v>
      </c>
      <c r="J12">
        <f t="shared" si="3"/>
        <v>3.0258207480824333</v>
      </c>
      <c r="L12">
        <f t="shared" si="4"/>
        <v>3.0144655939383918</v>
      </c>
      <c r="N12">
        <f t="shared" si="7"/>
        <v>13.900360762168352</v>
      </c>
      <c r="R12">
        <f t="shared" si="5"/>
        <v>13.952721863727978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38.977126044223603</v>
      </c>
      <c r="Z12">
        <f t="shared" si="1"/>
        <v>-139.22504526819046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50">
        <f>-103.286556+((SUM(Y5:Y64)+D86)/67592.4)</f>
        <v>-102.84389945917555</v>
      </c>
      <c r="F13" s="50" t="s">
        <v>58</v>
      </c>
      <c r="I13">
        <f t="shared" si="2"/>
        <v>1.1153307384767281</v>
      </c>
      <c r="J13">
        <f t="shared" si="3"/>
        <v>3.027902333975145</v>
      </c>
      <c r="L13">
        <f t="shared" si="4"/>
        <v>3.0165393681559762</v>
      </c>
      <c r="N13">
        <f t="shared" si="7"/>
        <v>14.254092516695543</v>
      </c>
      <c r="R13">
        <f t="shared" si="5"/>
        <v>14.307786086141478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34.266963103222743</v>
      </c>
      <c r="Z13">
        <f t="shared" si="1"/>
        <v>-142.73217348327066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59</v>
      </c>
      <c r="F14">
        <f>(P4+T4)+(D84+D85)/60</f>
        <v>290.43061263590363</v>
      </c>
      <c r="I14">
        <f t="shared" si="2"/>
        <v>1.1105737319390887</v>
      </c>
      <c r="J14">
        <f t="shared" si="3"/>
        <v>3.030056454089523</v>
      </c>
      <c r="L14">
        <f t="shared" si="4"/>
        <v>3.0186854043922997</v>
      </c>
      <c r="N14">
        <f t="shared" si="7"/>
        <v>14.913913547389278</v>
      </c>
      <c r="R14">
        <f t="shared" si="5"/>
        <v>14.970092588729823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32.873663936168818</v>
      </c>
      <c r="Z14">
        <f t="shared" si="1"/>
        <v>-149.39366870645568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3.0207776011433229</v>
      </c>
      <c r="N15">
        <f t="shared" si="7"/>
        <v>15.879787040429918</v>
      </c>
      <c r="R15">
        <f t="shared" si="5"/>
        <v>15.939604418999846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28.63132148634849</v>
      </c>
      <c r="Z15">
        <f t="shared" si="1"/>
        <v>-155.84660210425432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60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3.0230613405072253</v>
      </c>
      <c r="N16">
        <f t="shared" si="7"/>
        <v>16.556548516172768</v>
      </c>
      <c r="R16">
        <f t="shared" si="5"/>
        <v>16.618915179395756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33.176022502340594</v>
      </c>
      <c r="Z16">
        <f t="shared" si="1"/>
        <v>-149.27743215339333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3.0252953889544085</v>
      </c>
      <c r="N17">
        <f t="shared" si="7"/>
        <v>17.235864359941274</v>
      </c>
      <c r="R17">
        <f t="shared" si="5"/>
        <v>17.300789929835481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31.072833972785755</v>
      </c>
      <c r="Z17">
        <f t="shared" si="1"/>
        <v>-145.06534505449164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63</v>
      </c>
      <c r="F18" t="str">
        <f>CONCATENATE(HOME!C4,TEXT(HOME!A4,"00"),TEXT(HOME!B4,"00"))</f>
        <v>170329</v>
      </c>
      <c r="I18">
        <f t="shared" si="2"/>
        <v>1.0905023542896237</v>
      </c>
      <c r="J18">
        <f t="shared" si="3"/>
        <v>3.0392601333072689</v>
      </c>
      <c r="L18">
        <f t="shared" si="4"/>
        <v>3.0278545444866434</v>
      </c>
      <c r="N18">
        <f t="shared" si="7"/>
        <v>18.237991342873929</v>
      </c>
      <c r="R18">
        <f t="shared" si="5"/>
        <v>18.306691812832014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36.545119194544178</v>
      </c>
      <c r="Z18">
        <f t="shared" si="1"/>
        <v>-138.90654847624262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3.030428498937038</v>
      </c>
      <c r="N19">
        <f t="shared" si="7"/>
        <v>20.188413465538471</v>
      </c>
      <c r="R19">
        <f t="shared" si="5"/>
        <v>20.264460957102415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44.486485654737258</v>
      </c>
      <c r="Z19">
        <f t="shared" si="1"/>
        <v>-161.72764974186217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3.0335763676136516</v>
      </c>
      <c r="N20">
        <f t="shared" si="7"/>
        <v>22.492584910757241</v>
      </c>
      <c r="R20">
        <f t="shared" si="5"/>
        <v>22.577311957990148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63.067486662097785</v>
      </c>
      <c r="Z20">
        <f t="shared" si="1"/>
        <v>-171.22794479938744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3.0373703954869158</v>
      </c>
      <c r="N21">
        <f t="shared" si="7"/>
        <v>26.101971670157727</v>
      </c>
      <c r="R21">
        <f t="shared" si="5"/>
        <v>26.200294872908508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99.409680025301768</v>
      </c>
      <c r="Z21">
        <f t="shared" si="1"/>
        <v>-198.77643565200376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3.0416941117119913</v>
      </c>
      <c r="N22">
        <f t="shared" si="7"/>
        <v>30.417747000793174</v>
      </c>
      <c r="R22">
        <f t="shared" si="5"/>
        <v>30.532327245664106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128.01693614327621</v>
      </c>
      <c r="Z22">
        <f t="shared" si="1"/>
        <v>-231.61556328162848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3.0463161776472352</v>
      </c>
      <c r="N23">
        <f t="shared" si="7"/>
        <v>35.175716429813612</v>
      </c>
      <c r="R23">
        <f t="shared" si="5"/>
        <v>35.308219412428777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155.00552385507089</v>
      </c>
      <c r="Z23">
        <f t="shared" si="1"/>
        <v>-274.75401525301595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3.0526585793976859</v>
      </c>
      <c r="N24">
        <f t="shared" si="7"/>
        <v>41.029221182404939</v>
      </c>
      <c r="R24">
        <f t="shared" si="5"/>
        <v>41.183773661581689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82.213975781722681</v>
      </c>
      <c r="Z24">
        <f t="shared" si="1"/>
        <v>-312.49206088383482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3.0588677799285007</v>
      </c>
      <c r="N25">
        <f t="shared" si="7"/>
        <v>46.821410636465728</v>
      </c>
      <c r="R25">
        <f t="shared" si="5"/>
        <v>46.997781644344407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46.949010088189738</v>
      </c>
      <c r="Z25">
        <f t="shared" si="1"/>
        <v>-347.24236745053128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3.0683780948334869</v>
      </c>
      <c r="N26">
        <f t="shared" si="7"/>
        <v>53.634225590883808</v>
      </c>
      <c r="R26">
        <f t="shared" si="5"/>
        <v>53.836259709370822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10.734337097675313</v>
      </c>
      <c r="Z26">
        <f t="shared" si="1"/>
        <v>-430.00314864012876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3.0798818861492236</v>
      </c>
      <c r="N27">
        <f t="shared" si="7"/>
        <v>61.91202466895615</v>
      </c>
      <c r="R27">
        <f t="shared" si="5"/>
        <v>62.145240329104801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24.812490961513546</v>
      </c>
      <c r="Z27">
        <f t="shared" si="1"/>
        <v>-620.47769774912967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3.0936928044393448</v>
      </c>
      <c r="N28">
        <f t="shared" si="7"/>
        <v>69.563897958951145</v>
      </c>
      <c r="R28">
        <f t="shared" si="5"/>
        <v>69.82593736844801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69.702590481849711</v>
      </c>
      <c r="Z28">
        <f t="shared" si="1"/>
        <v>-905.86600697371637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3.1076183676357876</v>
      </c>
      <c r="N29">
        <f t="shared" si="7"/>
        <v>77.808514757810016</v>
      </c>
      <c r="R29">
        <f t="shared" si="5"/>
        <v>78.10161071504055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31.204946476967709</v>
      </c>
      <c r="Z29">
        <f t="shared" si="1"/>
        <v>-1138.5122453408205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3.1206879334445063</v>
      </c>
      <c r="N30">
        <f t="shared" si="7"/>
        <v>85.738186311996202</v>
      </c>
      <c r="R30">
        <f t="shared" si="5"/>
        <v>86.061152453510957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-68.621268028333716</v>
      </c>
      <c r="Z30">
        <f t="shared" si="1"/>
        <v>-875.82437972674711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3.1354208947878557</v>
      </c>
      <c r="N31">
        <f t="shared" si="7"/>
        <v>93.475800472698637</v>
      </c>
      <c r="R31">
        <f t="shared" si="5"/>
        <v>93.82791333981497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-131.13189711278949</v>
      </c>
      <c r="Z31">
        <f t="shared" si="1"/>
        <v>-786.98807738605603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3.1512522180487279</v>
      </c>
      <c r="N32">
        <f t="shared" si="7"/>
        <v>99.420742278720098</v>
      </c>
      <c r="R32">
        <f t="shared" si="5"/>
        <v>99.795249075533434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-139.38066152071838</v>
      </c>
      <c r="Z32">
        <f t="shared" si="1"/>
        <v>-816.26823896802807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3.1682710360418285</v>
      </c>
      <c r="N33">
        <f t="shared" si="7"/>
        <v>105.21961360409915</v>
      </c>
      <c r="R33">
        <f t="shared" si="5"/>
        <v>105.61596409947504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42.22385481396298</v>
      </c>
      <c r="Z33">
        <f t="shared" si="1"/>
        <v>-822.15136592859517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3.1889354781873656</v>
      </c>
      <c r="N34">
        <f t="shared" si="7"/>
        <v>111.41387418131444</v>
      </c>
      <c r="R34">
        <f t="shared" si="5"/>
        <v>111.83355776226412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133.92710752888522</v>
      </c>
      <c r="Z34">
        <f t="shared" si="1"/>
        <v>-1205.3807210531256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3.2085336180467423</v>
      </c>
      <c r="N35">
        <f t="shared" si="7"/>
        <v>116.46205474280403</v>
      </c>
      <c r="R35">
        <f t="shared" si="5"/>
        <v>116.90075425431796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303.46277011663796</v>
      </c>
      <c r="Z35">
        <f t="shared" si="1"/>
        <v>-933.96237129782753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3.231425169708801</v>
      </c>
      <c r="N36">
        <f t="shared" si="7"/>
        <v>122.09282732137108</v>
      </c>
      <c r="R36">
        <f t="shared" si="5"/>
        <v>122.55273732230252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831.88532808104071</v>
      </c>
      <c r="Z36">
        <f t="shared" si="1"/>
        <v>-660.52700664667339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3.2555350808957559</v>
      </c>
      <c r="N37">
        <f t="shared" si="7"/>
        <v>127.66699764083899</v>
      </c>
      <c r="R37">
        <f t="shared" si="5"/>
        <v>128.14790491681978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997.69970157406829</v>
      </c>
      <c r="Z37">
        <f t="shared" si="1"/>
        <v>-460.57943197687973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3.2803155071577885</v>
      </c>
      <c r="N38">
        <f t="shared" si="7"/>
        <v>133.09858627549272</v>
      </c>
      <c r="R38">
        <f t="shared" si="5"/>
        <v>133.59995373729137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986.6692117641162</v>
      </c>
      <c r="Z38">
        <f t="shared" si="1"/>
        <v>-400.04314764638463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3.3056259794553204</v>
      </c>
      <c r="N39">
        <f t="shared" si="7"/>
        <v>139.06243723244671</v>
      </c>
      <c r="R39">
        <f t="shared" si="5"/>
        <v>139.58626985259531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1003.7755612105973</v>
      </c>
      <c r="Z39">
        <f t="shared" si="1"/>
        <v>-557.54753852585509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3.3332685309261736</v>
      </c>
      <c r="N40">
        <f t="shared" si="7"/>
        <v>144.56227110326358</v>
      </c>
      <c r="R40">
        <f t="shared" si="5"/>
        <v>145.1068209813883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1187.9648245505448</v>
      </c>
      <c r="Z40">
        <f t="shared" si="1"/>
        <v>-492.55703713200666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3.3619308907501719</v>
      </c>
      <c r="N41">
        <f t="shared" si="7"/>
        <v>151.1737005323092</v>
      </c>
      <c r="R41">
        <f t="shared" si="5"/>
        <v>151.74315492433192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1483.6262494504122</v>
      </c>
      <c r="Z41">
        <f t="shared" si="1"/>
        <v>-393.65353025970234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3.3930027170177914</v>
      </c>
      <c r="N42">
        <f t="shared" si="7"/>
        <v>160.37130821791445</v>
      </c>
      <c r="R42">
        <f t="shared" si="5"/>
        <v>160.97540896756567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1670.7696413253686</v>
      </c>
      <c r="Z42">
        <f t="shared" si="1"/>
        <v>-610.42308741777379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3.4272077055067727</v>
      </c>
      <c r="N43">
        <f t="shared" si="7"/>
        <v>168.95643271428611</v>
      </c>
      <c r="R43">
        <f t="shared" si="5"/>
        <v>169.59287266601618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1726.0198430040164</v>
      </c>
      <c r="Z43">
        <f t="shared" si="1"/>
        <v>-981.31282359051966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3.4639703118854297</v>
      </c>
      <c r="N44">
        <f t="shared" si="7"/>
        <v>173.55097917957718</v>
      </c>
      <c r="R44">
        <f t="shared" si="5"/>
        <v>174.20472627305745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1564.4842798869263</v>
      </c>
      <c r="Z44">
        <f t="shared" si="1"/>
        <v>-1181.9229693941695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3.5031874002312811</v>
      </c>
      <c r="N45">
        <f t="shared" si="7"/>
        <v>172.9475745362368</v>
      </c>
      <c r="R45">
        <f>(A46-A45)/L45:L138</f>
        <v>173.59904867203258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1316.7252707978689</v>
      </c>
      <c r="Z45">
        <f t="shared" si="1"/>
        <v>-1039.5138618088295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3.5466187929852859</v>
      </c>
      <c r="N46">
        <f t="shared" si="7"/>
        <v>167.81000181764239</v>
      </c>
      <c r="R46">
        <f t="shared" si="5"/>
        <v>168.4421232926338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1210.8785953969073</v>
      </c>
      <c r="Z46">
        <f t="shared" si="1"/>
        <v>-908.16232555892918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3.5961442097361913</v>
      </c>
      <c r="N47">
        <f t="shared" si="7"/>
        <v>163.60128463537745</v>
      </c>
      <c r="R47">
        <f t="shared" si="5"/>
        <v>164.21755234429858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983.83661548278565</v>
      </c>
      <c r="Z47">
        <f t="shared" si="1"/>
        <v>-1344.7346566901485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3.6552739236213894</v>
      </c>
      <c r="N48">
        <f t="shared" si="7"/>
        <v>159.66834158820348</v>
      </c>
      <c r="R48">
        <f t="shared" si="5"/>
        <v>160.26979434132275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31.830236452669126</v>
      </c>
      <c r="Z48">
        <f t="shared" si="1"/>
        <v>-2399.5147998793291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3.712185750323683</v>
      </c>
      <c r="N49">
        <f t="shared" si="7"/>
        <v>155.53775969816095</v>
      </c>
      <c r="R49">
        <f t="shared" si="5"/>
        <v>156.12365301210122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405.35970495863614</v>
      </c>
      <c r="Z49">
        <f t="shared" si="1"/>
        <v>-1714.7922245861719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3.7701999857208808</v>
      </c>
      <c r="N50">
        <f t="shared" si="7"/>
        <v>151.50610694739757</v>
      </c>
      <c r="R50">
        <f t="shared" si="5"/>
        <v>152.07681347714225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880.16635847361658</v>
      </c>
      <c r="Z50">
        <f t="shared" si="1"/>
        <v>-1244.4846824054937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3.8278453434335593</v>
      </c>
      <c r="N51">
        <f t="shared" si="7"/>
        <v>151.06456463469843</v>
      </c>
      <c r="R51">
        <f t="shared" si="5"/>
        <v>151.6336079240227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1089.3983374897243</v>
      </c>
      <c r="Z51">
        <f t="shared" si="1"/>
        <v>-1271.0228482790465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3.8873574797808659</v>
      </c>
      <c r="N52">
        <f t="shared" si="7"/>
        <v>155.54584521504356</v>
      </c>
      <c r="R52">
        <f t="shared" si="5"/>
        <v>156.13176898621998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1246.5751836613942</v>
      </c>
      <c r="Z52">
        <f t="shared" si="1"/>
        <v>-841.45883397691512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3.9499063710528022</v>
      </c>
      <c r="N53">
        <f t="shared" si="7"/>
        <v>162.7805702566333</v>
      </c>
      <c r="R53">
        <f t="shared" si="5"/>
        <v>163.39374642644458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1892.5822927297102</v>
      </c>
      <c r="Z53">
        <f t="shared" si="1"/>
        <v>-358.97576188140164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4.0169290150949015</v>
      </c>
      <c r="N54">
        <f t="shared" si="7"/>
        <v>169.55351431366455</v>
      </c>
      <c r="R54">
        <f t="shared" si="5"/>
        <v>170.19220340488096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2275.7608022122827</v>
      </c>
      <c r="Z54">
        <f t="shared" si="1"/>
        <v>-1188.7276766545369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4.0889702141686541</v>
      </c>
      <c r="N55">
        <f t="shared" si="7"/>
        <v>181.70619895660832</v>
      </c>
      <c r="R55">
        <f t="shared" si="5"/>
        <v>182.39066584925726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1929.0929720150839</v>
      </c>
      <c r="Z55">
        <f t="shared" si="1"/>
        <v>-1637.727105236221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4.1683169923642653</v>
      </c>
      <c r="N56">
        <f t="shared" si="7"/>
        <v>194.74339927211989</v>
      </c>
      <c r="R56">
        <f t="shared" si="5"/>
        <v>195.47697583763659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2185.0312682225845</v>
      </c>
      <c r="Z56">
        <f t="shared" si="1"/>
        <v>-1014.2577446850083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4.257825194072967</v>
      </c>
      <c r="N57">
        <f t="shared" si="7"/>
        <v>214.84539796289405</v>
      </c>
      <c r="R57">
        <f t="shared" si="5"/>
        <v>215.65469650520026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2755.737520051191</v>
      </c>
      <c r="Z57">
        <f t="shared" si="1"/>
        <v>-1464.017971060518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4.3623165643831419</v>
      </c>
      <c r="N58">
        <f t="shared" si="7"/>
        <v>238.82620780517087</v>
      </c>
      <c r="R58">
        <f t="shared" si="5"/>
        <v>239.7258393712826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1914.6624992747243</v>
      </c>
      <c r="Z58">
        <f t="shared" si="1"/>
        <v>-1484.0942883220346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4.4851978388026943</v>
      </c>
      <c r="N59">
        <f t="shared" si="7"/>
        <v>272.9397147309723</v>
      </c>
      <c r="R59">
        <f t="shared" si="5"/>
        <v>273.96784805551022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1093.2319101519397</v>
      </c>
      <c r="Z59">
        <f t="shared" si="1"/>
        <v>-1366.5305114290272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4.6309356799945967</v>
      </c>
      <c r="N60">
        <f t="shared" si="7"/>
        <v>328.49509597241149</v>
      </c>
      <c r="R60">
        <f t="shared" si="5"/>
        <v>329.73250019352088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1580.618182662726</v>
      </c>
      <c r="Z60">
        <f t="shared" si="1"/>
        <v>-1053.7427632816862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4.8234358497712311</v>
      </c>
      <c r="N61">
        <f t="shared" si="7"/>
        <v>413.77186294178438</v>
      </c>
      <c r="R61">
        <f t="shared" si="5"/>
        <v>415.33049518944352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-663.68891820460226</v>
      </c>
      <c r="Z61">
        <f t="shared" si="1"/>
        <v>-1659.3406692796902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5.0876726568330337</v>
      </c>
      <c r="N62">
        <f t="shared" si="7"/>
        <v>574.78822977883499</v>
      </c>
      <c r="R62">
        <f t="shared" si="5"/>
        <v>576.95339263968958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-575.13346357216369</v>
      </c>
      <c r="Z62">
        <f t="shared" si="1"/>
        <v>-1955.3958215409059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5.5037064641371103</v>
      </c>
      <c r="N63">
        <f t="shared" si="7"/>
        <v>1054.324380766928</v>
      </c>
      <c r="R63">
        <f t="shared" si="5"/>
        <v>1058.2959025801156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-4014.064974831354</v>
      </c>
      <c r="Z63">
        <f t="shared" si="1"/>
        <v>5069.9406359704226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6.4455678327914736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49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32.82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61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49' 2972.82"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50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38.03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799.07001735321376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-318.48945292599416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5899.8080997244842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2" sqref="U2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>
        <f>LOOKUP(Calculations!C2,[1]NAM_Buf!$I$5:$I$11093,[1]NAM_Buf!$A$16:$A$11104)</f>
        <v>911.8</v>
      </c>
    </row>
    <row r="2" spans="1:21" x14ac:dyDescent="0.2">
      <c r="B2" t="s">
        <v>17</v>
      </c>
      <c r="D2">
        <f>LOOKUP(Calculations!$C$2,[1]NAM_Buf!$I$5:$I$11093,[1]NAM_Buf!F16:F11104)</f>
        <v>329.04</v>
      </c>
      <c r="E2">
        <f>LOOKUP(Calculations!$C$2,[1]NAM_Buf!$I$5:$I$11093,[1]NAM_Buf!G16:G11104)</f>
        <v>4.53</v>
      </c>
      <c r="G2" s="2"/>
      <c r="J2" s="2"/>
      <c r="K2" s="2"/>
    </row>
    <row r="3" spans="1:21" x14ac:dyDescent="0.2">
      <c r="A3">
        <f>LOOKUP(Calculations!$C$2,[1]NAM_Buf!$I$5:$I$11093,[1]NAM_Buf!A16:A11104)</f>
        <v>911.8</v>
      </c>
      <c r="B3">
        <f>LOOKUP(Calculations!$C$2,[1]NAM_Buf!$I$5:$I$11093,[1]NAM_Buf!B16:B11104)</f>
        <v>2.34</v>
      </c>
      <c r="D3">
        <f>LOOKUP(Calculations!$C$2,[1]NAM_Buf!$I$5:$I$11093,[1]NAM_Buf!F17:F11105)</f>
        <v>0</v>
      </c>
      <c r="E3">
        <f>LOOKUP(Calculations!$C$2,[1]NAM_Buf!$I$5:$I$11093,[1]NAM_Buf!G17:G11105)</f>
        <v>0</v>
      </c>
      <c r="J3" s="2"/>
      <c r="K3" s="2"/>
    </row>
    <row r="4" spans="1:21" x14ac:dyDescent="0.2">
      <c r="A4">
        <f>LOOKUP(Calculations!$C$2,[1]NAM_Buf!$I$5:$I$11093,[1]NAM_Buf!A17:A11105)</f>
        <v>0</v>
      </c>
      <c r="B4">
        <f>LOOKUP(Calculations!$C$2,[1]NAM_Buf!$I$5:$I$11093,[1]NAM_Buf!B17:B11105)</f>
        <v>946.72</v>
      </c>
      <c r="D4">
        <f>LOOKUP(Calculations!$C$2,[1]NAM_Buf!$I$5:$I$11093,[1]NAM_Buf!F18:F11106)</f>
        <v>335.56</v>
      </c>
      <c r="E4">
        <f>LOOKUP(Calculations!$C$2,[1]NAM_Buf!$I$5:$I$11093,[1]NAM_Buf!G18:G11106)</f>
        <v>7.05</v>
      </c>
      <c r="G4" s="2"/>
      <c r="J4" s="2"/>
      <c r="K4" s="2"/>
    </row>
    <row r="5" spans="1:21" x14ac:dyDescent="0.2">
      <c r="A5">
        <f>LOOKUP(Calculations!$C$2,[1]NAM_Buf!$I$5:$I$11093,[1]NAM_Buf!A18:A11106)</f>
        <v>907.8</v>
      </c>
      <c r="B5">
        <f>LOOKUP(Calculations!$C$2,[1]NAM_Buf!$I$5:$I$11093,[1]NAM_Buf!B18:B11106)</f>
        <v>2.44</v>
      </c>
      <c r="D5">
        <f>LOOKUP(Calculations!$C$2,[1]NAM_Buf!$I$5:$I$11093,[1]NAM_Buf!F19:F11107)</f>
        <v>0</v>
      </c>
      <c r="E5">
        <f>LOOKUP(Calculations!$C$2,[1]NAM_Buf!$I$5:$I$11093,[1]NAM_Buf!G19:G11107)</f>
        <v>0</v>
      </c>
      <c r="J5" s="2"/>
      <c r="K5" s="2"/>
    </row>
    <row r="6" spans="1:21" x14ac:dyDescent="0.2">
      <c r="A6">
        <f>LOOKUP(Calculations!$C$2,[1]NAM_Buf!$I$5:$I$11093,[1]NAM_Buf!A19:A11107)</f>
        <v>0</v>
      </c>
      <c r="B6">
        <f>LOOKUP(Calculations!$C$2,[1]NAM_Buf!$I$5:$I$11093,[1]NAM_Buf!B19:B11107)</f>
        <v>982.28</v>
      </c>
      <c r="D6">
        <f>LOOKUP(Calculations!$C$2,[1]NAM_Buf!$I$5:$I$11093,[1]NAM_Buf!F20:F11108)</f>
        <v>338.68</v>
      </c>
      <c r="E6">
        <f>LOOKUP(Calculations!$C$2,[1]NAM_Buf!$I$5:$I$11093,[1]NAM_Buf!G20:G11108)</f>
        <v>8.5500000000000007</v>
      </c>
      <c r="G6" s="2"/>
      <c r="J6" s="2"/>
      <c r="K6" s="2"/>
    </row>
    <row r="7" spans="1:21" x14ac:dyDescent="0.2">
      <c r="A7">
        <f>LOOKUP(Calculations!$C$2,[1]NAM_Buf!$I$5:$I$11093,[1]NAM_Buf!A20:A11108)</f>
        <v>903.7</v>
      </c>
      <c r="B7">
        <f>LOOKUP(Calculations!$C$2,[1]NAM_Buf!$I$5:$I$11093,[1]NAM_Buf!B20:B11108)</f>
        <v>2.2400000000000002</v>
      </c>
      <c r="D7">
        <f>LOOKUP(Calculations!$C$2,[1]NAM_Buf!$I$5:$I$11093,[1]NAM_Buf!F21:F11109)</f>
        <v>0</v>
      </c>
      <c r="E7">
        <f>LOOKUP(Calculations!$C$2,[1]NAM_Buf!$I$5:$I$11093,[1]NAM_Buf!G21:G11109)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LOOKUP(Calculations!$C$2,[1]NAM_Buf!$I$5:$I$11093,[1]NAM_Buf!A21:A11109)</f>
        <v>0</v>
      </c>
      <c r="B8">
        <f>LOOKUP(Calculations!$C$2,[1]NAM_Buf!$I$5:$I$11093,[1]NAM_Buf!B21:B11109)</f>
        <v>1018.88</v>
      </c>
      <c r="D8">
        <f>LOOKUP(Calculations!$C$2,[1]NAM_Buf!$I$5:$I$11093,[1]NAM_Buf!F22:F11110)</f>
        <v>341.92</v>
      </c>
      <c r="E8">
        <f>LOOKUP(Calculations!$C$2,[1]NAM_Buf!$I$5:$I$11093,[1]NAM_Buf!G22:G11110)</f>
        <v>10.02</v>
      </c>
      <c r="G8" s="2"/>
      <c r="J8" s="2"/>
      <c r="K8" s="2"/>
    </row>
    <row r="9" spans="1:21" x14ac:dyDescent="0.2">
      <c r="A9">
        <f>LOOKUP(Calculations!$C$2,[1]NAM_Buf!$I$5:$I$11093,[1]NAM_Buf!A22:A11110)</f>
        <v>899.6</v>
      </c>
      <c r="B9">
        <f>LOOKUP(Calculations!$C$2,[1]NAM_Buf!$I$5:$I$11093,[1]NAM_Buf!B22:B11110)</f>
        <v>2.34</v>
      </c>
      <c r="D9">
        <f>LOOKUP(Calculations!$C$2,[1]NAM_Buf!$I$5:$I$11093,[1]NAM_Buf!F23:F11111)</f>
        <v>0</v>
      </c>
      <c r="E9">
        <f>LOOKUP(Calculations!$C$2,[1]NAM_Buf!$I$5:$I$11093,[1]NAM_Buf!G23:G11111)</f>
        <v>0</v>
      </c>
      <c r="J9" s="2"/>
      <c r="K9" s="2"/>
    </row>
    <row r="10" spans="1:21" x14ac:dyDescent="0.2">
      <c r="A10">
        <f>LOOKUP(Calculations!$C$2,[1]NAM_Buf!$I$5:$I$11093,[1]NAM_Buf!A23:A11111)</f>
        <v>0</v>
      </c>
      <c r="B10">
        <f>LOOKUP(Calculations!$C$2,[1]NAM_Buf!$I$5:$I$11093,[1]NAM_Buf!B23:B11111)</f>
        <v>1055.6300000000001</v>
      </c>
      <c r="D10">
        <f>LOOKUP(Calculations!$C$2,[1]NAM_Buf!$I$5:$I$11093,[1]NAM_Buf!F24:F11112)</f>
        <v>341.9</v>
      </c>
      <c r="E10">
        <f>LOOKUP(Calculations!$C$2,[1]NAM_Buf!$I$5:$I$11093,[1]NAM_Buf!G24:G11112)</f>
        <v>10.63</v>
      </c>
      <c r="G10" s="2"/>
      <c r="J10" s="2"/>
      <c r="K10" s="2"/>
    </row>
    <row r="11" spans="1:21" x14ac:dyDescent="0.2">
      <c r="A11">
        <f>LOOKUP(Calculations!$C$2,[1]NAM_Buf!$I$5:$I$11093,[1]NAM_Buf!A24:A11112)</f>
        <v>895.4</v>
      </c>
      <c r="B11">
        <f>LOOKUP(Calculations!$C$2,[1]NAM_Buf!$I$5:$I$11093,[1]NAM_Buf!B24:B11112)</f>
        <v>2.14</v>
      </c>
      <c r="D11">
        <f>LOOKUP(Calculations!$C$2,[1]NAM_Buf!$I$5:$I$11093,[1]NAM_Buf!F25:F11113)</f>
        <v>0</v>
      </c>
      <c r="E11">
        <f>LOOKUP(Calculations!$C$2,[1]NAM_Buf!$I$5:$I$11093,[1]NAM_Buf!G25:G11113)</f>
        <v>0</v>
      </c>
      <c r="J11" s="2"/>
      <c r="K11" s="2"/>
    </row>
    <row r="12" spans="1:21" x14ac:dyDescent="0.2">
      <c r="A12">
        <f>LOOKUP(Calculations!$C$2,[1]NAM_Buf!$I$5:$I$11093,[1]NAM_Buf!A25:A11113)</f>
        <v>0</v>
      </c>
      <c r="B12">
        <f>LOOKUP(Calculations!$C$2,[1]NAM_Buf!$I$5:$I$11093,[1]NAM_Buf!B25:B11113)</f>
        <v>1093.45</v>
      </c>
      <c r="D12">
        <f>LOOKUP(Calculations!$C$2,[1]NAM_Buf!$I$5:$I$11093,[1]NAM_Buf!F26:F11114)</f>
        <v>341.57</v>
      </c>
      <c r="E12">
        <f>LOOKUP(Calculations!$C$2,[1]NAM_Buf!$I$5:$I$11093,[1]NAM_Buf!G26:G11114)</f>
        <v>10.45</v>
      </c>
      <c r="G12" s="2"/>
      <c r="J12" s="2"/>
      <c r="K12" s="2"/>
    </row>
    <row r="13" spans="1:21" x14ac:dyDescent="0.2">
      <c r="A13">
        <f>LOOKUP(Calculations!$C$2,[1]NAM_Buf!$I$5:$I$11093,[1]NAM_Buf!A26:A11114)</f>
        <v>891.1</v>
      </c>
      <c r="B13">
        <f>LOOKUP(Calculations!$C$2,[1]NAM_Buf!$I$5:$I$11093,[1]NAM_Buf!B26:B11114)</f>
        <v>1.74</v>
      </c>
      <c r="D13">
        <f>LOOKUP(Calculations!$C$2,[1]NAM_Buf!$I$5:$I$11093,[1]NAM_Buf!F27:F11115)</f>
        <v>0</v>
      </c>
      <c r="E13">
        <f>LOOKUP(Calculations!$C$2,[1]NAM_Buf!$I$5:$I$11093,[1]NAM_Buf!G27:G11115)</f>
        <v>0</v>
      </c>
      <c r="J13" s="2"/>
      <c r="K13" s="2"/>
    </row>
    <row r="14" spans="1:21" x14ac:dyDescent="0.2">
      <c r="A14">
        <f>LOOKUP(Calculations!$C$2,[1]NAM_Buf!$I$5:$I$11093,[1]NAM_Buf!A27:A11115)</f>
        <v>0</v>
      </c>
      <c r="B14">
        <f>LOOKUP(Calculations!$C$2,[1]NAM_Buf!$I$5:$I$11093,[1]NAM_Buf!B27:B11115)</f>
        <v>1132.31</v>
      </c>
      <c r="D14">
        <f>LOOKUP(Calculations!$C$2,[1]NAM_Buf!$I$5:$I$11093,[1]NAM_Buf!F28:F11116)</f>
        <v>342.58</v>
      </c>
      <c r="E14">
        <f>LOOKUP(Calculations!$C$2,[1]NAM_Buf!$I$5:$I$11093,[1]NAM_Buf!G28:G11116)</f>
        <v>10.39</v>
      </c>
      <c r="G14" s="2"/>
      <c r="J14" s="2"/>
      <c r="K14" s="2"/>
    </row>
    <row r="15" spans="1:21" x14ac:dyDescent="0.2">
      <c r="A15">
        <f>LOOKUP(Calculations!$C$2,[1]NAM_Buf!$I$5:$I$11093,[1]NAM_Buf!A28:A11116)</f>
        <v>886.8</v>
      </c>
      <c r="B15">
        <f>LOOKUP(Calculations!$C$2,[1]NAM_Buf!$I$5:$I$11093,[1]NAM_Buf!B28:B11116)</f>
        <v>1.54</v>
      </c>
      <c r="D15">
        <f>LOOKUP(Calculations!$C$2,[1]NAM_Buf!$I$5:$I$11093,[1]NAM_Buf!F29:F11117)</f>
        <v>0</v>
      </c>
      <c r="E15">
        <f>LOOKUP(Calculations!$C$2,[1]NAM_Buf!$I$5:$I$11093,[1]NAM_Buf!G29:G11117)</f>
        <v>0</v>
      </c>
      <c r="J15" s="2"/>
      <c r="K15" s="2"/>
    </row>
    <row r="16" spans="1:21" x14ac:dyDescent="0.2">
      <c r="A16">
        <f>LOOKUP(Calculations!$C$2,[1]NAM_Buf!$I$5:$I$11093,[1]NAM_Buf!A29:A11117)</f>
        <v>0</v>
      </c>
      <c r="B16">
        <f>LOOKUP(Calculations!$C$2,[1]NAM_Buf!$I$5:$I$11093,[1]NAM_Buf!B29:B11117)</f>
        <v>1171.31</v>
      </c>
      <c r="D16">
        <f>LOOKUP(Calculations!$C$2,[1]NAM_Buf!$I$5:$I$11093,[1]NAM_Buf!F30:F11118)</f>
        <v>344.36</v>
      </c>
      <c r="E16">
        <f>LOOKUP(Calculations!$C$2,[1]NAM_Buf!$I$5:$I$11093,[1]NAM_Buf!G30:G11118)</f>
        <v>10.09</v>
      </c>
      <c r="G16" s="2"/>
      <c r="J16" s="2"/>
      <c r="K16" s="2"/>
    </row>
    <row r="17" spans="1:11" x14ac:dyDescent="0.2">
      <c r="A17">
        <f>LOOKUP(Calculations!$C$2,[1]NAM_Buf!$I$5:$I$11093,[1]NAM_Buf!A30:A11118)</f>
        <v>882.3</v>
      </c>
      <c r="B17">
        <f>LOOKUP(Calculations!$C$2,[1]NAM_Buf!$I$5:$I$11093,[1]NAM_Buf!B30:B11118)</f>
        <v>1.24</v>
      </c>
      <c r="D17">
        <f>LOOKUP(Calculations!$C$2,[1]NAM_Buf!$I$5:$I$11093,[1]NAM_Buf!F31:F11119)</f>
        <v>0</v>
      </c>
      <c r="E17">
        <f>LOOKUP(Calculations!$C$2,[1]NAM_Buf!$I$5:$I$11093,[1]NAM_Buf!G31:G11119)</f>
        <v>0</v>
      </c>
      <c r="J17" s="2"/>
      <c r="K17" s="2"/>
    </row>
    <row r="18" spans="1:11" x14ac:dyDescent="0.2">
      <c r="A18">
        <f>LOOKUP(Calculations!$C$2,[1]NAM_Buf!$I$5:$I$11093,[1]NAM_Buf!A31:A11119)</f>
        <v>0</v>
      </c>
      <c r="B18">
        <f>LOOKUP(Calculations!$C$2,[1]NAM_Buf!$I$5:$I$11093,[1]NAM_Buf!B31:B11119)</f>
        <v>1212.29</v>
      </c>
      <c r="D18">
        <f>LOOKUP(Calculations!$C$2,[1]NAM_Buf!$I$5:$I$11093,[1]NAM_Buf!F32:F11120)</f>
        <v>346.5</v>
      </c>
      <c r="E18">
        <f>LOOKUP(Calculations!$C$2,[1]NAM_Buf!$I$5:$I$11093,[1]NAM_Buf!G32:G11120)</f>
        <v>9.99</v>
      </c>
      <c r="G18" s="2"/>
      <c r="J18" s="2"/>
      <c r="K18" s="2"/>
    </row>
    <row r="19" spans="1:11" x14ac:dyDescent="0.2">
      <c r="A19">
        <f>LOOKUP(Calculations!$C$2,[1]NAM_Buf!$I$5:$I$11093,[1]NAM_Buf!A32:A11120)</f>
        <v>877.7</v>
      </c>
      <c r="B19">
        <f>LOOKUP(Calculations!$C$2,[1]NAM_Buf!$I$5:$I$11093,[1]NAM_Buf!B32:B11120)</f>
        <v>0.94</v>
      </c>
      <c r="D19">
        <f>LOOKUP(Calculations!$C$2,[1]NAM_Buf!$I$5:$I$11093,[1]NAM_Buf!F33:F11121)</f>
        <v>0</v>
      </c>
      <c r="E19">
        <f>LOOKUP(Calculations!$C$2,[1]NAM_Buf!$I$5:$I$11093,[1]NAM_Buf!G33:G11121)</f>
        <v>0</v>
      </c>
      <c r="J19" s="2"/>
      <c r="K19" s="2"/>
    </row>
    <row r="20" spans="1:11" x14ac:dyDescent="0.2">
      <c r="A20">
        <f>LOOKUP(Calculations!$C$2,[1]NAM_Buf!$I$5:$I$11093,[1]NAM_Buf!A33:A11121)</f>
        <v>0</v>
      </c>
      <c r="B20">
        <f>LOOKUP(Calculations!$C$2,[1]NAM_Buf!$I$5:$I$11093,[1]NAM_Buf!B33:B11121)</f>
        <v>1254.3499999999999</v>
      </c>
      <c r="D20">
        <f>LOOKUP(Calculations!$C$2,[1]NAM_Buf!$I$5:$I$11093,[1]NAM_Buf!F34:F11122)</f>
        <v>347.59</v>
      </c>
      <c r="E20">
        <f>LOOKUP(Calculations!$C$2,[1]NAM_Buf!$I$5:$I$11093,[1]NAM_Buf!G34:G11122)</f>
        <v>9.9499999999999993</v>
      </c>
      <c r="G20" s="2"/>
      <c r="J20" s="2"/>
      <c r="K20" s="2"/>
    </row>
    <row r="21" spans="1:11" x14ac:dyDescent="0.2">
      <c r="A21">
        <f>LOOKUP(Calculations!$C$2,[1]NAM_Buf!$I$5:$I$11093,[1]NAM_Buf!A34:A11122)</f>
        <v>873</v>
      </c>
      <c r="B21">
        <f>LOOKUP(Calculations!$C$2,[1]NAM_Buf!$I$5:$I$11093,[1]NAM_Buf!B34:B11122)</f>
        <v>0.64</v>
      </c>
      <c r="D21">
        <f>LOOKUP(Calculations!$C$2,[1]NAM_Buf!$I$5:$I$11093,[1]NAM_Buf!F35:F11123)</f>
        <v>0</v>
      </c>
      <c r="E21">
        <f>LOOKUP(Calculations!$C$2,[1]NAM_Buf!$I$5:$I$11093,[1]NAM_Buf!G35:G11123)</f>
        <v>0</v>
      </c>
      <c r="J21" s="2"/>
      <c r="K21" s="2"/>
    </row>
    <row r="22" spans="1:11" x14ac:dyDescent="0.2">
      <c r="A22">
        <f>LOOKUP(Calculations!$C$2,[1]NAM_Buf!$I$5:$I$11093,[1]NAM_Buf!A35:A11123)</f>
        <v>0</v>
      </c>
      <c r="B22">
        <f>LOOKUP(Calculations!$C$2,[1]NAM_Buf!$I$5:$I$11093,[1]NAM_Buf!B35:B11123)</f>
        <v>1297.51</v>
      </c>
      <c r="D22">
        <f>LOOKUP(Calculations!$C$2,[1]NAM_Buf!$I$5:$I$11093,[1]NAM_Buf!F36:F11124)</f>
        <v>349.59</v>
      </c>
      <c r="E22">
        <f>LOOKUP(Calculations!$C$2,[1]NAM_Buf!$I$5:$I$11093,[1]NAM_Buf!G36:G11124)</f>
        <v>9.68</v>
      </c>
      <c r="G22" s="2"/>
      <c r="J22" s="2"/>
      <c r="K22" s="2"/>
    </row>
    <row r="23" spans="1:11" x14ac:dyDescent="0.2">
      <c r="A23">
        <f>LOOKUP(Calculations!$C$2,[1]NAM_Buf!$I$5:$I$11093,[1]NAM_Buf!A36:A11124)</f>
        <v>868.1</v>
      </c>
      <c r="B23">
        <f>LOOKUP(Calculations!$C$2,[1]NAM_Buf!$I$5:$I$11093,[1]NAM_Buf!B36:B11124)</f>
        <v>0.24</v>
      </c>
      <c r="D23">
        <f>LOOKUP(Calculations!$C$2,[1]NAM_Buf!$I$5:$I$11093,[1]NAM_Buf!F37:F11125)</f>
        <v>0</v>
      </c>
      <c r="E23">
        <f>LOOKUP(Calculations!$C$2,[1]NAM_Buf!$I$5:$I$11093,[1]NAM_Buf!G37:G11125)</f>
        <v>0</v>
      </c>
      <c r="J23" s="2"/>
      <c r="K23" s="2"/>
    </row>
    <row r="24" spans="1:11" x14ac:dyDescent="0.2">
      <c r="A24">
        <f>LOOKUP(Calculations!$C$2,[1]NAM_Buf!$I$5:$I$11093,[1]NAM_Buf!A37:A11125)</f>
        <v>0</v>
      </c>
      <c r="B24">
        <f>LOOKUP(Calculations!$C$2,[1]NAM_Buf!$I$5:$I$11093,[1]NAM_Buf!B37:B11125)</f>
        <v>1342.7</v>
      </c>
      <c r="D24">
        <f>LOOKUP(Calculations!$C$2,[1]NAM_Buf!$I$5:$I$11093,[1]NAM_Buf!F38:F11126)</f>
        <v>347.47</v>
      </c>
      <c r="E24">
        <f>LOOKUP(Calculations!$C$2,[1]NAM_Buf!$I$5:$I$11093,[1]NAM_Buf!G38:G11126)</f>
        <v>8.9600000000000009</v>
      </c>
      <c r="G24" s="2"/>
      <c r="J24" s="2"/>
      <c r="K24" s="2"/>
    </row>
    <row r="25" spans="1:11" x14ac:dyDescent="0.2">
      <c r="A25">
        <f>LOOKUP(Calculations!$C$2,[1]NAM_Buf!$I$5:$I$11093,[1]NAM_Buf!A38:A11126)</f>
        <v>862.9</v>
      </c>
      <c r="B25">
        <f>LOOKUP(Calculations!$C$2,[1]NAM_Buf!$I$5:$I$11093,[1]NAM_Buf!B38:B11126)</f>
        <v>-0.16</v>
      </c>
      <c r="D25">
        <f>LOOKUP(Calculations!$C$2,[1]NAM_Buf!$I$5:$I$11093,[1]NAM_Buf!F39:F11127)</f>
        <v>0</v>
      </c>
      <c r="E25">
        <f>LOOKUP(Calculations!$C$2,[1]NAM_Buf!$I$5:$I$11093,[1]NAM_Buf!G39:G11127)</f>
        <v>0</v>
      </c>
      <c r="J25" s="2"/>
      <c r="K25" s="2"/>
    </row>
    <row r="26" spans="1:11" x14ac:dyDescent="0.2">
      <c r="A26">
        <f>LOOKUP(Calculations!$C$2,[1]NAM_Buf!$I$5:$I$11093,[1]NAM_Buf!A39:A11127)</f>
        <v>0</v>
      </c>
      <c r="B26">
        <f>LOOKUP(Calculations!$C$2,[1]NAM_Buf!$I$5:$I$11093,[1]NAM_Buf!B39:B11127)</f>
        <v>1390.85</v>
      </c>
      <c r="D26">
        <f>LOOKUP(Calculations!$C$2,[1]NAM_Buf!$I$5:$I$11093,[1]NAM_Buf!F40:F11128)</f>
        <v>347.91</v>
      </c>
      <c r="E26">
        <f>LOOKUP(Calculations!$C$2,[1]NAM_Buf!$I$5:$I$11093,[1]NAM_Buf!G40:G11128)</f>
        <v>8.35</v>
      </c>
      <c r="G26" s="2"/>
      <c r="J26" s="2"/>
      <c r="K26" s="2"/>
    </row>
    <row r="27" spans="1:11" x14ac:dyDescent="0.2">
      <c r="A27">
        <f>LOOKUP(Calculations!$C$2,[1]NAM_Buf!$I$5:$I$11093,[1]NAM_Buf!A40:A11128)</f>
        <v>857.5</v>
      </c>
      <c r="B27">
        <f>LOOKUP(Calculations!$C$2,[1]NAM_Buf!$I$5:$I$11093,[1]NAM_Buf!B40:B11128)</f>
        <v>-0.66</v>
      </c>
      <c r="D27">
        <f>LOOKUP(Calculations!$C$2,[1]NAM_Buf!$I$5:$I$11093,[1]NAM_Buf!F41:F11129)</f>
        <v>0</v>
      </c>
      <c r="E27">
        <f>LOOKUP(Calculations!$C$2,[1]NAM_Buf!$I$5:$I$11093,[1]NAM_Buf!G41:G11129)</f>
        <v>0</v>
      </c>
      <c r="J27" s="2"/>
      <c r="K27" s="2"/>
    </row>
    <row r="28" spans="1:11" x14ac:dyDescent="0.2">
      <c r="A28">
        <f>LOOKUP(Calculations!$C$2,[1]NAM_Buf!$I$5:$I$11093,[1]NAM_Buf!A41:A11129)</f>
        <v>0</v>
      </c>
      <c r="B28">
        <f>LOOKUP(Calculations!$C$2,[1]NAM_Buf!$I$5:$I$11093,[1]NAM_Buf!B41:B11129)</f>
        <v>1441.09</v>
      </c>
      <c r="D28">
        <f>LOOKUP(Calculations!$C$2,[1]NAM_Buf!$I$5:$I$11093,[1]NAM_Buf!F42:F11130)</f>
        <v>345.26</v>
      </c>
      <c r="E28">
        <f>LOOKUP(Calculations!$C$2,[1]NAM_Buf!$I$5:$I$11093,[1]NAM_Buf!G42:G11130)</f>
        <v>7.64</v>
      </c>
      <c r="G28" s="2"/>
      <c r="J28" s="2"/>
      <c r="K28" s="2"/>
    </row>
    <row r="29" spans="1:11" x14ac:dyDescent="0.2">
      <c r="A29">
        <f>LOOKUP(Calculations!$C$2,[1]NAM_Buf!$I$5:$I$11093,[1]NAM_Buf!A42:A11130)</f>
        <v>851.9</v>
      </c>
      <c r="B29">
        <f>LOOKUP(Calculations!$C$2,[1]NAM_Buf!$I$5:$I$11093,[1]NAM_Buf!B42:B11130)</f>
        <v>-1.06</v>
      </c>
      <c r="D29">
        <f>LOOKUP(Calculations!$C$2,[1]NAM_Buf!$I$5:$I$11093,[1]NAM_Buf!F43:F11131)</f>
        <v>0</v>
      </c>
      <c r="E29">
        <f>LOOKUP(Calculations!$C$2,[1]NAM_Buf!$I$5:$I$11093,[1]NAM_Buf!G43:G11131)</f>
        <v>0</v>
      </c>
      <c r="J29" s="2"/>
      <c r="K29" s="2"/>
    </row>
    <row r="30" spans="1:11" x14ac:dyDescent="0.2">
      <c r="A30">
        <f>LOOKUP(Calculations!$C$2,[1]NAM_Buf!$I$5:$I$11093,[1]NAM_Buf!A43:A11131)</f>
        <v>0</v>
      </c>
      <c r="B30">
        <f>LOOKUP(Calculations!$C$2,[1]NAM_Buf!$I$5:$I$11093,[1]NAM_Buf!B43:B11131)</f>
        <v>1493.43</v>
      </c>
      <c r="D30">
        <f>LOOKUP(Calculations!$C$2,[1]NAM_Buf!$I$5:$I$11093,[1]NAM_Buf!F44:F11132)</f>
        <v>344.62</v>
      </c>
      <c r="E30">
        <f>LOOKUP(Calculations!$C$2,[1]NAM_Buf!$I$5:$I$11093,[1]NAM_Buf!G44:G11132)</f>
        <v>8.06</v>
      </c>
      <c r="G30" s="2"/>
      <c r="J30" s="2"/>
      <c r="K30" s="2"/>
    </row>
    <row r="31" spans="1:11" x14ac:dyDescent="0.2">
      <c r="A31">
        <f>LOOKUP(Calculations!$C$2,[1]NAM_Buf!$I$5:$I$11093,[1]NAM_Buf!A44:A11132)</f>
        <v>846</v>
      </c>
      <c r="B31">
        <f>LOOKUP(Calculations!$C$2,[1]NAM_Buf!$I$5:$I$11093,[1]NAM_Buf!B44:B11132)</f>
        <v>-1.56</v>
      </c>
      <c r="D31">
        <f>LOOKUP(Calculations!$C$2,[1]NAM_Buf!$I$5:$I$11093,[1]NAM_Buf!F45:F11133)</f>
        <v>0</v>
      </c>
      <c r="E31">
        <f>LOOKUP(Calculations!$C$2,[1]NAM_Buf!$I$5:$I$11093,[1]NAM_Buf!G45:G11133)</f>
        <v>0</v>
      </c>
      <c r="J31" s="2"/>
      <c r="K31" s="2"/>
    </row>
    <row r="32" spans="1:11" x14ac:dyDescent="0.2">
      <c r="A32">
        <f>LOOKUP(Calculations!$C$2,[1]NAM_Buf!$I$5:$I$11093,[1]NAM_Buf!A45:A11133)</f>
        <v>0</v>
      </c>
      <c r="B32">
        <f>LOOKUP(Calculations!$C$2,[1]NAM_Buf!$I$5:$I$11093,[1]NAM_Buf!B45:B11133)</f>
        <v>1548.86</v>
      </c>
      <c r="D32">
        <f>LOOKUP(Calculations!$C$2,[1]NAM_Buf!$I$5:$I$11093,[1]NAM_Buf!F46:F11134)</f>
        <v>339.78</v>
      </c>
      <c r="E32">
        <f>LOOKUP(Calculations!$C$2,[1]NAM_Buf!$I$5:$I$11093,[1]NAM_Buf!G46:G11134)</f>
        <v>7.87</v>
      </c>
      <c r="G32" s="2"/>
      <c r="J32" s="2"/>
      <c r="K32" s="2"/>
    </row>
    <row r="33" spans="1:11" x14ac:dyDescent="0.2">
      <c r="A33">
        <f>LOOKUP(Calculations!$C$2,[1]NAM_Buf!$I$5:$I$11093,[1]NAM_Buf!A46:A11134)</f>
        <v>839.5</v>
      </c>
      <c r="B33">
        <f>LOOKUP(Calculations!$C$2,[1]NAM_Buf!$I$5:$I$11093,[1]NAM_Buf!B46:B11134)</f>
        <v>-1.96</v>
      </c>
      <c r="D33">
        <f>LOOKUP(Calculations!$C$2,[1]NAM_Buf!$I$5:$I$11093,[1]NAM_Buf!F47:F11135)</f>
        <v>0</v>
      </c>
      <c r="E33">
        <f>LOOKUP(Calculations!$C$2,[1]NAM_Buf!$I$5:$I$11093,[1]NAM_Buf!G47:G11135)</f>
        <v>0</v>
      </c>
      <c r="J33" s="2"/>
      <c r="K33" s="2"/>
    </row>
    <row r="34" spans="1:11" x14ac:dyDescent="0.2">
      <c r="A34">
        <f>LOOKUP(Calculations!$C$2,[1]NAM_Buf!$I$5:$I$11093,[1]NAM_Buf!A47:A11135)</f>
        <v>0</v>
      </c>
      <c r="B34">
        <f>LOOKUP(Calculations!$C$2,[1]NAM_Buf!$I$5:$I$11093,[1]NAM_Buf!B47:B11135)</f>
        <v>1610.27</v>
      </c>
      <c r="D34">
        <f>LOOKUP(Calculations!$C$2,[1]NAM_Buf!$I$5:$I$11093,[1]NAM_Buf!F48:F11136)</f>
        <v>333.43</v>
      </c>
      <c r="E34">
        <f>LOOKUP(Calculations!$C$2,[1]NAM_Buf!$I$5:$I$11093,[1]NAM_Buf!G48:G11136)</f>
        <v>8.26</v>
      </c>
      <c r="G34" s="2"/>
      <c r="J34" s="2"/>
      <c r="K34" s="2"/>
    </row>
    <row r="35" spans="1:11" x14ac:dyDescent="0.2">
      <c r="A35">
        <f>LOOKUP(Calculations!$C$2,[1]NAM_Buf!$I$5:$I$11093,[1]NAM_Buf!A48:A11136)</f>
        <v>832.3</v>
      </c>
      <c r="B35">
        <f>LOOKUP(Calculations!$C$2,[1]NAM_Buf!$I$5:$I$11093,[1]NAM_Buf!B48:B11136)</f>
        <v>-2.2599999999999998</v>
      </c>
      <c r="D35">
        <f>LOOKUP(Calculations!$C$2,[1]NAM_Buf!$I$5:$I$11093,[1]NAM_Buf!F49:F11137)</f>
        <v>0</v>
      </c>
      <c r="E35">
        <f>LOOKUP(Calculations!$C$2,[1]NAM_Buf!$I$5:$I$11093,[1]NAM_Buf!G49:G11137)</f>
        <v>0</v>
      </c>
      <c r="J35" s="2"/>
      <c r="K35" s="2"/>
    </row>
    <row r="36" spans="1:11" x14ac:dyDescent="0.2">
      <c r="A36">
        <f>LOOKUP(Calculations!$C$2,[1]NAM_Buf!$I$5:$I$11093,[1]NAM_Buf!A49:A11137)</f>
        <v>1</v>
      </c>
      <c r="B36">
        <f>LOOKUP(Calculations!$C$2,[1]NAM_Buf!$I$5:$I$11093,[1]NAM_Buf!B49:B11137)</f>
        <v>1678.76</v>
      </c>
      <c r="D36">
        <f>LOOKUP(Calculations!$C$2,[1]NAM_Buf!$I$5:$I$11093,[1]NAM_Buf!F50:F11138)</f>
        <v>331.07</v>
      </c>
      <c r="E36">
        <f>LOOKUP(Calculations!$C$2,[1]NAM_Buf!$I$5:$I$11093,[1]NAM_Buf!G50:G11138)</f>
        <v>8.44</v>
      </c>
      <c r="G36" s="2"/>
      <c r="J36" s="2"/>
      <c r="K36" s="2"/>
    </row>
    <row r="37" spans="1:11" x14ac:dyDescent="0.2">
      <c r="A37">
        <f>LOOKUP(Calculations!$C$2,[1]NAM_Buf!$I$5:$I$11093,[1]NAM_Buf!A50:A11138)</f>
        <v>824</v>
      </c>
      <c r="B37">
        <f>LOOKUP(Calculations!$C$2,[1]NAM_Buf!$I$5:$I$11093,[1]NAM_Buf!B50:B11138)</f>
        <v>-2.66</v>
      </c>
      <c r="D37">
        <f>LOOKUP(Calculations!$C$2,[1]NAM_Buf!$I$5:$I$11093,[1]NAM_Buf!F51:F11139)</f>
        <v>0</v>
      </c>
      <c r="E37">
        <f>LOOKUP(Calculations!$C$2,[1]NAM_Buf!$I$5:$I$11093,[1]NAM_Buf!G51:G11139)</f>
        <v>0</v>
      </c>
      <c r="J37" s="2"/>
      <c r="K37" s="2"/>
    </row>
    <row r="38" spans="1:11" x14ac:dyDescent="0.2">
      <c r="A38">
        <f>LOOKUP(Calculations!$C$2,[1]NAM_Buf!$I$5:$I$11093,[1]NAM_Buf!A51:A11139)</f>
        <v>3</v>
      </c>
      <c r="B38">
        <f>LOOKUP(Calculations!$C$2,[1]NAM_Buf!$I$5:$I$11093,[1]NAM_Buf!B51:B11139)</f>
        <v>1758.34</v>
      </c>
      <c r="D38">
        <f>LOOKUP(Calculations!$C$2,[1]NAM_Buf!$I$5:$I$11093,[1]NAM_Buf!F52:F11140)</f>
        <v>330.57</v>
      </c>
      <c r="E38">
        <f>LOOKUP(Calculations!$C$2,[1]NAM_Buf!$I$5:$I$11093,[1]NAM_Buf!G52:G11140)</f>
        <v>8.6999999999999993</v>
      </c>
      <c r="G38" s="2"/>
      <c r="J38" s="2"/>
      <c r="K38" s="2"/>
    </row>
    <row r="39" spans="1:11" x14ac:dyDescent="0.2">
      <c r="A39">
        <f>LOOKUP(Calculations!$C$2,[1]NAM_Buf!$I$5:$I$11093,[1]NAM_Buf!A52:A11140)</f>
        <v>814.4</v>
      </c>
      <c r="B39">
        <f>LOOKUP(Calculations!$C$2,[1]NAM_Buf!$I$5:$I$11093,[1]NAM_Buf!B52:B11140)</f>
        <v>-3.36</v>
      </c>
      <c r="D39">
        <f>LOOKUP(Calculations!$C$2,[1]NAM_Buf!$I$5:$I$11093,[1]NAM_Buf!F53:F11141)</f>
        <v>0</v>
      </c>
      <c r="E39">
        <f>LOOKUP(Calculations!$C$2,[1]NAM_Buf!$I$5:$I$11093,[1]NAM_Buf!G53:G11141)</f>
        <v>0</v>
      </c>
      <c r="J39" s="2"/>
      <c r="K39" s="2"/>
    </row>
    <row r="40" spans="1:11" x14ac:dyDescent="0.2">
      <c r="A40">
        <f>LOOKUP(Calculations!$C$2,[1]NAM_Buf!$I$5:$I$11093,[1]NAM_Buf!A53:A11141)</f>
        <v>0</v>
      </c>
      <c r="B40">
        <f>LOOKUP(Calculations!$C$2,[1]NAM_Buf!$I$5:$I$11093,[1]NAM_Buf!B53:B11141)</f>
        <v>1851.21</v>
      </c>
      <c r="D40">
        <f>LOOKUP(Calculations!$C$2,[1]NAM_Buf!$I$5:$I$11093,[1]NAM_Buf!F54:F11142)</f>
        <v>345.26</v>
      </c>
      <c r="E40">
        <f>LOOKUP(Calculations!$C$2,[1]NAM_Buf!$I$5:$I$11093,[1]NAM_Buf!G54:G11142)</f>
        <v>7.64</v>
      </c>
      <c r="G40" s="2"/>
      <c r="J40" s="2"/>
      <c r="K40" s="2"/>
    </row>
    <row r="41" spans="1:11" x14ac:dyDescent="0.2">
      <c r="A41">
        <f>LOOKUP(Calculations!$C$2,[1]NAM_Buf!$I$5:$I$11093,[1]NAM_Buf!A54:A11142)</f>
        <v>803.4</v>
      </c>
      <c r="B41">
        <f>LOOKUP(Calculations!$C$2,[1]NAM_Buf!$I$5:$I$11093,[1]NAM_Buf!B54:B11142)</f>
        <v>-3.66</v>
      </c>
      <c r="D41">
        <f>LOOKUP(Calculations!$C$2,[1]NAM_Buf!$I$5:$I$11093,[1]NAM_Buf!F55:F11143)</f>
        <v>0</v>
      </c>
      <c r="E41">
        <f>LOOKUP(Calculations!$C$2,[1]NAM_Buf!$I$5:$I$11093,[1]NAM_Buf!G55:G11143)</f>
        <v>0</v>
      </c>
      <c r="J41" s="2"/>
      <c r="K41" s="2"/>
    </row>
    <row r="42" spans="1:11" x14ac:dyDescent="0.2">
      <c r="A42">
        <f>LOOKUP(Calculations!$C$2,[1]NAM_Buf!$I$5:$I$11093,[1]NAM_Buf!A55:A11143)</f>
        <v>0</v>
      </c>
      <c r="B42">
        <f>LOOKUP(Calculations!$C$2,[1]NAM_Buf!$I$5:$I$11093,[1]NAM_Buf!B55:B11143)</f>
        <v>1958.77</v>
      </c>
      <c r="D42">
        <f>LOOKUP(Calculations!$C$2,[1]NAM_Buf!$I$5:$I$11093,[1]NAM_Buf!F56:F11144)</f>
        <v>352.3</v>
      </c>
      <c r="E42">
        <f>LOOKUP(Calculations!$C$2,[1]NAM_Buf!$I$5:$I$11093,[1]NAM_Buf!G56:G11144)</f>
        <v>7.26</v>
      </c>
      <c r="G42" s="2"/>
      <c r="J42" s="2"/>
      <c r="K42" s="2"/>
    </row>
    <row r="43" spans="1:11" x14ac:dyDescent="0.2">
      <c r="A43">
        <f>LOOKUP(Calculations!$C$2,[1]NAM_Buf!$I$5:$I$11093,[1]NAM_Buf!A56:A11144)</f>
        <v>790.7</v>
      </c>
      <c r="B43">
        <f>LOOKUP(Calculations!$C$2,[1]NAM_Buf!$I$5:$I$11093,[1]NAM_Buf!B56:B11144)</f>
        <v>-4.66</v>
      </c>
      <c r="D43">
        <f>LOOKUP(Calculations!$C$2,[1]NAM_Buf!$I$5:$I$11093,[1]NAM_Buf!F57:F11145)</f>
        <v>0</v>
      </c>
      <c r="E43">
        <f>LOOKUP(Calculations!$C$2,[1]NAM_Buf!$I$5:$I$11093,[1]NAM_Buf!G57:G11145)</f>
        <v>0</v>
      </c>
      <c r="J43" s="2"/>
      <c r="K43" s="2"/>
    </row>
    <row r="44" spans="1:11" x14ac:dyDescent="0.2">
      <c r="A44">
        <f>LOOKUP(Calculations!$C$2,[1]NAM_Buf!$I$5:$I$11093,[1]NAM_Buf!A57:A11145)</f>
        <v>100</v>
      </c>
      <c r="B44">
        <f>LOOKUP(Calculations!$C$2,[1]NAM_Buf!$I$5:$I$11093,[1]NAM_Buf!B57:B11145)</f>
        <v>2084.4899999999998</v>
      </c>
      <c r="D44">
        <f>LOOKUP(Calculations!$C$2,[1]NAM_Buf!$I$5:$I$11093,[1]NAM_Buf!F58:F11146)</f>
        <v>358.57</v>
      </c>
      <c r="E44">
        <f>LOOKUP(Calculations!$C$2,[1]NAM_Buf!$I$5:$I$11093,[1]NAM_Buf!G58:G11146)</f>
        <v>7.78</v>
      </c>
      <c r="G44" s="2"/>
      <c r="J44" s="2"/>
      <c r="K44" s="2"/>
    </row>
    <row r="45" spans="1:11" x14ac:dyDescent="0.2">
      <c r="A45">
        <f>LOOKUP(Calculations!$C$2,[1]NAM_Buf!$I$5:$I$11093,[1]NAM_Buf!A58:A11146)</f>
        <v>776.4</v>
      </c>
      <c r="B45">
        <f>LOOKUP(Calculations!$C$2,[1]NAM_Buf!$I$5:$I$11093,[1]NAM_Buf!B58:B11146)</f>
        <v>-4.5599999999999996</v>
      </c>
      <c r="D45">
        <f>LOOKUP(Calculations!$C$2,[1]NAM_Buf!$I$5:$I$11093,[1]NAM_Buf!F59:F11147)</f>
        <v>0</v>
      </c>
      <c r="E45">
        <f>LOOKUP(Calculations!$C$2,[1]NAM_Buf!$I$5:$I$11093,[1]NAM_Buf!G59:G11147)</f>
        <v>0</v>
      </c>
      <c r="J45" s="2"/>
      <c r="K45" s="2"/>
    </row>
    <row r="46" spans="1:11" x14ac:dyDescent="0.2">
      <c r="A46">
        <f>LOOKUP(Calculations!$C$2,[1]NAM_Buf!$I$5:$I$11093,[1]NAM_Buf!A59:A11147)</f>
        <v>0</v>
      </c>
      <c r="B46">
        <f>LOOKUP(Calculations!$C$2,[1]NAM_Buf!$I$5:$I$11093,[1]NAM_Buf!B59:B11147)</f>
        <v>2228.25</v>
      </c>
      <c r="D46">
        <f>LOOKUP(Calculations!$C$2,[1]NAM_Buf!$I$5:$I$11093,[1]NAM_Buf!F60:F11148)</f>
        <v>357.71</v>
      </c>
      <c r="E46">
        <f>LOOKUP(Calculations!$C$2,[1]NAM_Buf!$I$5:$I$11093,[1]NAM_Buf!G60:G11148)</f>
        <v>9.73</v>
      </c>
      <c r="G46" s="2"/>
      <c r="J46" s="2"/>
      <c r="K46" s="2"/>
    </row>
    <row r="47" spans="1:11" x14ac:dyDescent="0.2">
      <c r="A47">
        <f>LOOKUP(Calculations!$C$2,[1]NAM_Buf!$I$5:$I$11093,[1]NAM_Buf!A60:A11148)</f>
        <v>760.3</v>
      </c>
      <c r="B47">
        <f>LOOKUP(Calculations!$C$2,[1]NAM_Buf!$I$5:$I$11093,[1]NAM_Buf!B60:B11148)</f>
        <v>-4.16</v>
      </c>
      <c r="D47">
        <f>LOOKUP(Calculations!$C$2,[1]NAM_Buf!$I$5:$I$11093,[1]NAM_Buf!F61:F11149)</f>
        <v>0</v>
      </c>
      <c r="E47">
        <f>LOOKUP(Calculations!$C$2,[1]NAM_Buf!$I$5:$I$11093,[1]NAM_Buf!G61:G11149)</f>
        <v>0</v>
      </c>
      <c r="J47" s="2"/>
      <c r="K47" s="2"/>
    </row>
    <row r="48" spans="1:11" x14ac:dyDescent="0.2">
      <c r="A48">
        <f>LOOKUP(Calculations!$C$2,[1]NAM_Buf!$I$5:$I$11093,[1]NAM_Buf!A61:A11149)</f>
        <v>0</v>
      </c>
      <c r="B48">
        <f>LOOKUP(Calculations!$C$2,[1]NAM_Buf!$I$5:$I$11093,[1]NAM_Buf!B61:B11149)</f>
        <v>2393.44</v>
      </c>
      <c r="D48">
        <f>LOOKUP(Calculations!$C$2,[1]NAM_Buf!$I$5:$I$11093,[1]NAM_Buf!F62:F11150)</f>
        <v>355.6</v>
      </c>
      <c r="E48">
        <f>LOOKUP(Calculations!$C$2,[1]NAM_Buf!$I$5:$I$11093,[1]NAM_Buf!G62:G11150)</f>
        <v>12.67</v>
      </c>
      <c r="G48" s="2"/>
      <c r="J48" s="2"/>
      <c r="K48" s="2"/>
    </row>
    <row r="49" spans="1:11" x14ac:dyDescent="0.2">
      <c r="A49">
        <f>LOOKUP(Calculations!$C$2,[1]NAM_Buf!$I$5:$I$11093,[1]NAM_Buf!A62:A11150)</f>
        <v>742.1</v>
      </c>
      <c r="B49">
        <f>LOOKUP(Calculations!$C$2,[1]NAM_Buf!$I$5:$I$11093,[1]NAM_Buf!B62:B11150)</f>
        <v>-3.46</v>
      </c>
      <c r="D49">
        <f>LOOKUP(Calculations!$C$2,[1]NAM_Buf!$I$5:$I$11093,[1]NAM_Buf!F63:F11151)</f>
        <v>0</v>
      </c>
      <c r="E49">
        <f>LOOKUP(Calculations!$C$2,[1]NAM_Buf!$I$5:$I$11093,[1]NAM_Buf!G63:G11151)</f>
        <v>0</v>
      </c>
      <c r="J49" s="2"/>
      <c r="K49" s="2"/>
    </row>
    <row r="50" spans="1:11" x14ac:dyDescent="0.2">
      <c r="A50">
        <f>LOOKUP(Calculations!$C$2,[1]NAM_Buf!$I$5:$I$11093,[1]NAM_Buf!A63:A11151)</f>
        <v>0</v>
      </c>
      <c r="B50">
        <f>LOOKUP(Calculations!$C$2,[1]NAM_Buf!$I$5:$I$11093,[1]NAM_Buf!B63:B11151)</f>
        <v>2584.84</v>
      </c>
      <c r="D50">
        <f>LOOKUP(Calculations!$C$2,[1]NAM_Buf!$I$5:$I$11093,[1]NAM_Buf!F64:F11152)</f>
        <v>358.43</v>
      </c>
      <c r="E50">
        <f>LOOKUP(Calculations!$C$2,[1]NAM_Buf!$I$5:$I$11093,[1]NAM_Buf!G64:G11152)</f>
        <v>14.2</v>
      </c>
      <c r="G50" s="2"/>
      <c r="J50" s="2"/>
      <c r="K50" s="2"/>
    </row>
    <row r="51" spans="1:11" x14ac:dyDescent="0.2">
      <c r="A51">
        <f>LOOKUP(Calculations!$C$2,[1]NAM_Buf!$I$5:$I$11093,[1]NAM_Buf!A64:A11152)</f>
        <v>722.1</v>
      </c>
      <c r="B51">
        <f>LOOKUP(Calculations!$C$2,[1]NAM_Buf!$I$5:$I$11093,[1]NAM_Buf!B64:B11152)</f>
        <v>-3.56</v>
      </c>
      <c r="D51">
        <f>LOOKUP(Calculations!$C$2,[1]NAM_Buf!$I$5:$I$11093,[1]NAM_Buf!F65:F11153)</f>
        <v>0</v>
      </c>
      <c r="E51">
        <f>LOOKUP(Calculations!$C$2,[1]NAM_Buf!$I$5:$I$11093,[1]NAM_Buf!G65:G11153)</f>
        <v>0</v>
      </c>
      <c r="J51" s="2"/>
      <c r="K51" s="2"/>
    </row>
    <row r="52" spans="1:11" x14ac:dyDescent="0.2">
      <c r="A52">
        <f>LOOKUP(Calculations!$C$2,[1]NAM_Buf!$I$5:$I$11093,[1]NAM_Buf!A65:A11153)</f>
        <v>0</v>
      </c>
      <c r="B52">
        <f>LOOKUP(Calculations!$C$2,[1]NAM_Buf!$I$5:$I$11093,[1]NAM_Buf!B65:B11153)</f>
        <v>2800.86</v>
      </c>
      <c r="D52">
        <f>LOOKUP(Calculations!$C$2,[1]NAM_Buf!$I$5:$I$11093,[1]NAM_Buf!F66:F11154)</f>
        <v>4.4800000000000004</v>
      </c>
      <c r="E52">
        <f>LOOKUP(Calculations!$C$2,[1]NAM_Buf!$I$5:$I$11093,[1]NAM_Buf!G66:G11154)</f>
        <v>9.94</v>
      </c>
      <c r="G52" s="2"/>
      <c r="J52" s="2"/>
      <c r="K52" s="2"/>
    </row>
    <row r="53" spans="1:11" x14ac:dyDescent="0.2">
      <c r="A53">
        <f>LOOKUP(Calculations!$C$2,[1]NAM_Buf!$I$5:$I$11093,[1]NAM_Buf!A66:A11154)</f>
        <v>700.2</v>
      </c>
      <c r="B53">
        <f>LOOKUP(Calculations!$C$2,[1]NAM_Buf!$I$5:$I$11093,[1]NAM_Buf!B66:B11154)</f>
        <v>-5.0599999999999996</v>
      </c>
      <c r="D53">
        <f>LOOKUP(Calculations!$C$2,[1]NAM_Buf!$I$5:$I$11093,[1]NAM_Buf!F67:F11155)</f>
        <v>0</v>
      </c>
      <c r="E53">
        <f>LOOKUP(Calculations!$C$2,[1]NAM_Buf!$I$5:$I$11093,[1]NAM_Buf!G67:G11155)</f>
        <v>0</v>
      </c>
      <c r="J53" s="2"/>
      <c r="K53" s="2"/>
    </row>
    <row r="54" spans="1:11" x14ac:dyDescent="0.2">
      <c r="A54">
        <f>LOOKUP(Calculations!$C$2,[1]NAM_Buf!$I$5:$I$11093,[1]NAM_Buf!A67:A11155)</f>
        <v>0</v>
      </c>
      <c r="B54">
        <f>LOOKUP(Calculations!$C$2,[1]NAM_Buf!$I$5:$I$11093,[1]NAM_Buf!B67:B11155)</f>
        <v>3043.57</v>
      </c>
      <c r="D54">
        <f>LOOKUP(Calculations!$C$2,[1]NAM_Buf!$I$5:$I$11093,[1]NAM_Buf!F68:F11156)</f>
        <v>9.4600000000000009</v>
      </c>
      <c r="E54">
        <f>LOOKUP(Calculations!$C$2,[1]NAM_Buf!$I$5:$I$11093,[1]NAM_Buf!G68:G11156)</f>
        <v>8.2799999999999994</v>
      </c>
      <c r="G54" s="2"/>
      <c r="J54" s="2"/>
      <c r="K54" s="2"/>
    </row>
    <row r="55" spans="1:11" x14ac:dyDescent="0.2">
      <c r="A55">
        <f>LOOKUP(Calculations!$C$2,[1]NAM_Buf!$I$5:$I$11093,[1]NAM_Buf!A68:A11156)</f>
        <v>676.6</v>
      </c>
      <c r="B55">
        <f>LOOKUP(Calculations!$C$2,[1]NAM_Buf!$I$5:$I$11093,[1]NAM_Buf!B68:B11156)</f>
        <v>-6.66</v>
      </c>
      <c r="D55">
        <f>LOOKUP(Calculations!$C$2,[1]NAM_Buf!$I$5:$I$11093,[1]NAM_Buf!F69:F11157)</f>
        <v>0</v>
      </c>
      <c r="E55">
        <f>LOOKUP(Calculations!$C$2,[1]NAM_Buf!$I$5:$I$11093,[1]NAM_Buf!G69:G11157)</f>
        <v>0</v>
      </c>
      <c r="J55" s="2"/>
      <c r="K55" s="2"/>
    </row>
    <row r="56" spans="1:11" x14ac:dyDescent="0.2">
      <c r="A56">
        <f>LOOKUP(Calculations!$C$2,[1]NAM_Buf!$I$5:$I$11093,[1]NAM_Buf!A69:A11157)</f>
        <v>0</v>
      </c>
      <c r="B56">
        <f>LOOKUP(Calculations!$C$2,[1]NAM_Buf!$I$5:$I$11093,[1]NAM_Buf!B69:B11157)</f>
        <v>3312.14</v>
      </c>
      <c r="D56">
        <f>LOOKUP(Calculations!$C$2,[1]NAM_Buf!$I$5:$I$11093,[1]NAM_Buf!F70:F11158)</f>
        <v>9.69</v>
      </c>
      <c r="E56">
        <f>LOOKUP(Calculations!$C$2,[1]NAM_Buf!$I$5:$I$11093,[1]NAM_Buf!G70:G11158)</f>
        <v>8.08</v>
      </c>
      <c r="G56" s="2"/>
      <c r="J56" s="2"/>
      <c r="K56" s="2"/>
    </row>
    <row r="57" spans="1:11" x14ac:dyDescent="0.2">
      <c r="A57">
        <f>LOOKUP(Calculations!$C$2,[1]NAM_Buf!$I$5:$I$11093,[1]NAM_Buf!A70:A11158)</f>
        <v>651.5</v>
      </c>
      <c r="B57">
        <f>LOOKUP(Calculations!$C$2,[1]NAM_Buf!$I$5:$I$11093,[1]NAM_Buf!B70:B11158)</f>
        <v>-8.66</v>
      </c>
      <c r="D57">
        <f>LOOKUP(Calculations!$C$2,[1]NAM_Buf!$I$5:$I$11093,[1]NAM_Buf!F71:F11159)</f>
        <v>0</v>
      </c>
      <c r="E57">
        <f>LOOKUP(Calculations!$C$2,[1]NAM_Buf!$I$5:$I$11093,[1]NAM_Buf!G71:G11159)</f>
        <v>0</v>
      </c>
      <c r="J57" s="2"/>
      <c r="K57" s="2"/>
    </row>
    <row r="58" spans="1:11" x14ac:dyDescent="0.2">
      <c r="A58">
        <f>LOOKUP(Calculations!$C$2,[1]NAM_Buf!$I$5:$I$11093,[1]NAM_Buf!A71:A11159)</f>
        <v>40</v>
      </c>
      <c r="B58">
        <f>LOOKUP(Calculations!$C$2,[1]NAM_Buf!$I$5:$I$11093,[1]NAM_Buf!B71:B11159)</f>
        <v>3606.33</v>
      </c>
      <c r="D58">
        <f>LOOKUP(Calculations!$C$2,[1]NAM_Buf!$I$5:$I$11093,[1]NAM_Buf!F72:F11160)</f>
        <v>357.06</v>
      </c>
      <c r="E58">
        <f>LOOKUP(Calculations!$C$2,[1]NAM_Buf!$I$5:$I$11093,[1]NAM_Buf!G72:G11160)</f>
        <v>7.59</v>
      </c>
      <c r="G58" s="2"/>
      <c r="J58" s="2"/>
      <c r="K58" s="2"/>
    </row>
    <row r="59" spans="1:11" x14ac:dyDescent="0.2">
      <c r="A59">
        <f>LOOKUP(Calculations!$C$2,[1]NAM_Buf!$I$5:$I$11093,[1]NAM_Buf!A72:A11160)</f>
        <v>625.5</v>
      </c>
      <c r="B59">
        <f>LOOKUP(Calculations!$C$2,[1]NAM_Buf!$I$5:$I$11093,[1]NAM_Buf!B72:B11160)</f>
        <v>-10.86</v>
      </c>
      <c r="D59">
        <f>LOOKUP(Calculations!$C$2,[1]NAM_Buf!$I$5:$I$11093,[1]NAM_Buf!F73:F11161)</f>
        <v>0</v>
      </c>
      <c r="E59">
        <f>LOOKUP(Calculations!$C$2,[1]NAM_Buf!$I$5:$I$11093,[1]NAM_Buf!G73:G11161)</f>
        <v>0</v>
      </c>
      <c r="J59" s="2"/>
      <c r="K59" s="2"/>
    </row>
    <row r="60" spans="1:11" x14ac:dyDescent="0.2">
      <c r="A60">
        <f>LOOKUP(Calculations!$C$2,[1]NAM_Buf!$I$5:$I$11093,[1]NAM_Buf!A73:A11161)</f>
        <v>45</v>
      </c>
      <c r="B60">
        <f>LOOKUP(Calculations!$C$2,[1]NAM_Buf!$I$5:$I$11093,[1]NAM_Buf!B73:B11161)</f>
        <v>3920.81</v>
      </c>
      <c r="D60">
        <f>LOOKUP(Calculations!$C$2,[1]NAM_Buf!$I$5:$I$11093,[1]NAM_Buf!F74:F11162)</f>
        <v>353.66</v>
      </c>
      <c r="E60">
        <f>LOOKUP(Calculations!$C$2,[1]NAM_Buf!$I$5:$I$11093,[1]NAM_Buf!G74:G11162)</f>
        <v>10.56</v>
      </c>
      <c r="G60" s="2"/>
      <c r="J60" s="2"/>
      <c r="K60" s="2"/>
    </row>
    <row r="61" spans="1:11" x14ac:dyDescent="0.2">
      <c r="A61">
        <f>LOOKUP(Calculations!$C$2,[1]NAM_Buf!$I$5:$I$11093,[1]NAM_Buf!A74:A11162)</f>
        <v>598.79999999999995</v>
      </c>
      <c r="B61">
        <f>LOOKUP(Calculations!$C$2,[1]NAM_Buf!$I$5:$I$11093,[1]NAM_Buf!B74:B11162)</f>
        <v>-12.06</v>
      </c>
      <c r="D61">
        <f>LOOKUP(Calculations!$C$2,[1]NAM_Buf!$I$5:$I$11093,[1]NAM_Buf!F75:F11163)</f>
        <v>0</v>
      </c>
      <c r="E61">
        <f>LOOKUP(Calculations!$C$2,[1]NAM_Buf!$I$5:$I$11093,[1]NAM_Buf!G75:G11163)</f>
        <v>0</v>
      </c>
      <c r="J61" s="2"/>
      <c r="K61" s="2"/>
    </row>
    <row r="62" spans="1:11" x14ac:dyDescent="0.2">
      <c r="A62">
        <f>LOOKUP(Calculations!$C$2,[1]NAM_Buf!$I$5:$I$11093,[1]NAM_Buf!A75:A11163)</f>
        <v>42</v>
      </c>
      <c r="B62">
        <f>LOOKUP(Calculations!$C$2,[1]NAM_Buf!$I$5:$I$11093,[1]NAM_Buf!B75:B11163)</f>
        <v>4255.43</v>
      </c>
      <c r="D62">
        <f>LOOKUP(Calculations!$C$2,[1]NAM_Buf!$I$5:$I$11093,[1]NAM_Buf!F76:F11164)</f>
        <v>342</v>
      </c>
      <c r="E62">
        <f>LOOKUP(Calculations!$C$2,[1]NAM_Buf!$I$5:$I$11093,[1]NAM_Buf!G76:G11164)</f>
        <v>8.18</v>
      </c>
      <c r="G62" s="2"/>
      <c r="J62" s="2"/>
      <c r="K62" s="2"/>
    </row>
    <row r="63" spans="1:11" x14ac:dyDescent="0.2">
      <c r="A63">
        <f>LOOKUP(Calculations!$C$2,[1]NAM_Buf!$I$5:$I$11093,[1]NAM_Buf!A76:A11164)</f>
        <v>571.4</v>
      </c>
      <c r="B63">
        <f>LOOKUP(Calculations!$C$2,[1]NAM_Buf!$I$5:$I$11093,[1]NAM_Buf!B76:B11164)</f>
        <v>-14.66</v>
      </c>
      <c r="D63">
        <f>LOOKUP(Calculations!$C$2,[1]NAM_Buf!$I$5:$I$11093,[1]NAM_Buf!F77:F11165)</f>
        <v>0</v>
      </c>
      <c r="E63">
        <f>LOOKUP(Calculations!$C$2,[1]NAM_Buf!$I$5:$I$11093,[1]NAM_Buf!G77:G11165)</f>
        <v>0</v>
      </c>
      <c r="J63" s="2"/>
      <c r="K63" s="2"/>
    </row>
    <row r="64" spans="1:11" x14ac:dyDescent="0.2">
      <c r="A64">
        <f>LOOKUP(Calculations!$C$2,[1]NAM_Buf!$I$5:$I$11093,[1]NAM_Buf!A77:A11165)</f>
        <v>33</v>
      </c>
      <c r="B64">
        <f>LOOKUP(Calculations!$C$2,[1]NAM_Buf!$I$5:$I$11093,[1]NAM_Buf!B77:B11165)</f>
        <v>4612.0600000000004</v>
      </c>
      <c r="D64">
        <f>LOOKUP(Calculations!$C$2,[1]NAM_Buf!$I$5:$I$11093,[1]NAM_Buf!F78:F11166)</f>
        <v>308.45</v>
      </c>
      <c r="E64">
        <f>LOOKUP(Calculations!$C$2,[1]NAM_Buf!$I$5:$I$11093,[1]NAM_Buf!G78:G11166)</f>
        <v>8.44</v>
      </c>
      <c r="G64" s="2"/>
      <c r="J64" s="2"/>
      <c r="K64" s="2"/>
    </row>
    <row r="65" spans="1:11" x14ac:dyDescent="0.2">
      <c r="A65">
        <f>LOOKUP(Calculations!$C$2,[1]NAM_Buf!$I$5:$I$11093,[1]NAM_Buf!A78:A11166)</f>
        <v>543.70000000000005</v>
      </c>
      <c r="B65">
        <f>LOOKUP(Calculations!$C$2,[1]NAM_Buf!$I$5:$I$11093,[1]NAM_Buf!B78:B11166)</f>
        <v>-16.46</v>
      </c>
      <c r="D65">
        <f>LOOKUP(Calculations!$C$2,[1]NAM_Buf!$I$5:$I$11093,[1]NAM_Buf!F79:F11167)</f>
        <v>0</v>
      </c>
      <c r="E65">
        <f>LOOKUP(Calculations!$C$2,[1]NAM_Buf!$I$5:$I$11093,[1]NAM_Buf!G79:G11167)</f>
        <v>0</v>
      </c>
      <c r="J65" s="2"/>
      <c r="K65" s="2"/>
    </row>
    <row r="66" spans="1:11" x14ac:dyDescent="0.2">
      <c r="A66">
        <f>LOOKUP(Calculations!$C$2,[1]NAM_Buf!$I$5:$I$11093,[1]NAM_Buf!A79:A11167)</f>
        <v>21</v>
      </c>
      <c r="B66">
        <f>LOOKUP(Calculations!$C$2,[1]NAM_Buf!$I$5:$I$11093,[1]NAM_Buf!B79:B11167)</f>
        <v>4987.1400000000003</v>
      </c>
      <c r="D66">
        <f>LOOKUP(Calculations!$C$2,[1]NAM_Buf!$I$5:$I$11093,[1]NAM_Buf!F80:F11168)</f>
        <v>294.77999999999997</v>
      </c>
      <c r="E66">
        <f>LOOKUP(Calculations!$C$2,[1]NAM_Buf!$I$5:$I$11093,[1]NAM_Buf!G80:G11168)</f>
        <v>8.35</v>
      </c>
      <c r="G66" s="2"/>
      <c r="J66" s="2"/>
      <c r="K66" s="2"/>
    </row>
    <row r="67" spans="1:11" x14ac:dyDescent="0.2">
      <c r="A67">
        <f>LOOKUP(Calculations!$C$2,[1]NAM_Buf!$I$5:$I$11093,[1]NAM_Buf!A80:A11168)</f>
        <v>515.70000000000005</v>
      </c>
      <c r="B67">
        <f>LOOKUP(Calculations!$C$2,[1]NAM_Buf!$I$5:$I$11093,[1]NAM_Buf!B80:B11168)</f>
        <v>-18.559999999999999</v>
      </c>
      <c r="D67">
        <f>LOOKUP(Calculations!$C$2,[1]NAM_Buf!$I$5:$I$11093,[1]NAM_Buf!F81:F11169)</f>
        <v>0</v>
      </c>
      <c r="E67">
        <f>LOOKUP(Calculations!$C$2,[1]NAM_Buf!$I$5:$I$11093,[1]NAM_Buf!G81:G11169)</f>
        <v>0</v>
      </c>
      <c r="J67" s="2"/>
      <c r="K67" s="2"/>
    </row>
    <row r="68" spans="1:11" x14ac:dyDescent="0.2">
      <c r="A68">
        <f>LOOKUP(Calculations!$C$2,[1]NAM_Buf!$I$5:$I$11093,[1]NAM_Buf!A81:A11169)</f>
        <v>14</v>
      </c>
      <c r="B68">
        <f>LOOKUP(Calculations!$C$2,[1]NAM_Buf!$I$5:$I$11093,[1]NAM_Buf!B81:B11169)</f>
        <v>5383.16</v>
      </c>
      <c r="D68">
        <f>LOOKUP(Calculations!$C$2,[1]NAM_Buf!$I$5:$I$11093,[1]NAM_Buf!F82:F11170)</f>
        <v>292.07</v>
      </c>
      <c r="E68">
        <f>LOOKUP(Calculations!$C$2,[1]NAM_Buf!$I$5:$I$11093,[1]NAM_Buf!G82:G11170)</f>
        <v>7.76</v>
      </c>
      <c r="G68" s="2"/>
      <c r="J68" s="2"/>
      <c r="K68" s="2"/>
    </row>
    <row r="69" spans="1:11" x14ac:dyDescent="0.2">
      <c r="A69">
        <f>LOOKUP(Calculations!$C$2,[1]NAM_Buf!$I$5:$I$11093,[1]NAM_Buf!A82:A11170)</f>
        <v>487.5</v>
      </c>
      <c r="B69">
        <f>LOOKUP(Calculations!$C$2,[1]NAM_Buf!$I$5:$I$11093,[1]NAM_Buf!B82:B11170)</f>
        <v>-21.26</v>
      </c>
      <c r="D69">
        <f>LOOKUP(Calculations!$C$2,[1]NAM_Buf!$I$5:$I$11093,[1]NAM_Buf!F83:F11171)</f>
        <v>0</v>
      </c>
      <c r="E69">
        <f>LOOKUP(Calculations!$C$2,[1]NAM_Buf!$I$5:$I$11093,[1]NAM_Buf!G83:G11171)</f>
        <v>0</v>
      </c>
      <c r="J69" s="2"/>
      <c r="K69" s="2"/>
    </row>
    <row r="70" spans="1:11" x14ac:dyDescent="0.2">
      <c r="A70">
        <f>LOOKUP(Calculations!$C$2,[1]NAM_Buf!$I$5:$I$11093,[1]NAM_Buf!A83:A11171)</f>
        <v>11</v>
      </c>
      <c r="B70">
        <f>LOOKUP(Calculations!$C$2,[1]NAM_Buf!$I$5:$I$11093,[1]NAM_Buf!B83:B11171)</f>
        <v>5800.35</v>
      </c>
      <c r="D70">
        <f>LOOKUP(Calculations!$C$2,[1]NAM_Buf!$I$5:$I$11093,[1]NAM_Buf!F84:F11172)</f>
        <v>299.05</v>
      </c>
      <c r="E70">
        <f>LOOKUP(Calculations!$C$2,[1]NAM_Buf!$I$5:$I$11093,[1]NAM_Buf!G84:G11172)</f>
        <v>8.01</v>
      </c>
      <c r="J70" s="2"/>
      <c r="K70" s="2"/>
    </row>
    <row r="71" spans="1:11" x14ac:dyDescent="0.2">
      <c r="A71">
        <f>LOOKUP(Calculations!$C$2,[1]NAM_Buf!$I$5:$I$11093,[1]NAM_Buf!A84:A11172)</f>
        <v>459.2</v>
      </c>
      <c r="B71">
        <f>LOOKUP(Calculations!$C$2,[1]NAM_Buf!$I$5:$I$11093,[1]NAM_Buf!B84:B11172)</f>
        <v>-24.66</v>
      </c>
      <c r="D71">
        <f>LOOKUP(Calculations!$C$2,[1]NAM_Buf!$I$5:$I$11093,[1]NAM_Buf!F85:F11173)</f>
        <v>0</v>
      </c>
      <c r="E71">
        <f>LOOKUP(Calculations!$C$2,[1]NAM_Buf!$I$5:$I$11093,[1]NAM_Buf!G85:G11173)</f>
        <v>0</v>
      </c>
      <c r="J71" s="2"/>
      <c r="K71" s="2"/>
    </row>
    <row r="72" spans="1:11" x14ac:dyDescent="0.2">
      <c r="A72">
        <f>LOOKUP(Calculations!$C$2,[1]NAM_Buf!$I$5:$I$11093,[1]NAM_Buf!A85:A11173)</f>
        <v>12</v>
      </c>
      <c r="B72">
        <f>LOOKUP(Calculations!$C$2,[1]NAM_Buf!$I$5:$I$11093,[1]NAM_Buf!B85:B11173)</f>
        <v>6238.6</v>
      </c>
      <c r="D72">
        <f>LOOKUP(Calculations!$C$2,[1]NAM_Buf!$I$5:$I$11093,[1]NAM_Buf!F86:F11174)</f>
        <v>292.52</v>
      </c>
      <c r="E72">
        <f>LOOKUP(Calculations!$C$2,[1]NAM_Buf!$I$5:$I$11093,[1]NAM_Buf!G86:G11174)</f>
        <v>8.6300000000000008</v>
      </c>
      <c r="J72" s="2"/>
      <c r="K72" s="2"/>
    </row>
    <row r="73" spans="1:11" x14ac:dyDescent="0.2">
      <c r="A73">
        <f>LOOKUP(Calculations!$C$2,[1]NAM_Buf!$I$5:$I$11093,[1]NAM_Buf!A86:A11174)</f>
        <v>430.8</v>
      </c>
      <c r="B73">
        <f>LOOKUP(Calculations!$C$2,[1]NAM_Buf!$I$5:$I$11093,[1]NAM_Buf!B86:B11174)</f>
        <v>-28.06</v>
      </c>
      <c r="D73">
        <f>LOOKUP(Calculations!$C$2,[1]NAM_Buf!$I$5:$I$11093,[1]NAM_Buf!F87:F11175)</f>
        <v>0</v>
      </c>
      <c r="E73">
        <f>LOOKUP(Calculations!$C$2,[1]NAM_Buf!$I$5:$I$11093,[1]NAM_Buf!G87:G11175)</f>
        <v>0</v>
      </c>
      <c r="J73" s="2"/>
      <c r="K73" s="2"/>
    </row>
    <row r="74" spans="1:11" x14ac:dyDescent="0.2">
      <c r="A74">
        <f>LOOKUP(Calculations!$C$2,[1]NAM_Buf!$I$5:$I$11093,[1]NAM_Buf!A87:A11175)</f>
        <v>33</v>
      </c>
      <c r="B74">
        <f>LOOKUP(Calculations!$C$2,[1]NAM_Buf!$I$5:$I$11093,[1]NAM_Buf!B87:B11175)</f>
        <v>6700.02</v>
      </c>
      <c r="D74">
        <f>LOOKUP(Calculations!$C$2,[1]NAM_Buf!$I$5:$I$11093,[1]NAM_Buf!F88:F11176)</f>
        <v>284.86</v>
      </c>
      <c r="E74">
        <f>LOOKUP(Calculations!$C$2,[1]NAM_Buf!$I$5:$I$11093,[1]NAM_Buf!G88:G11176)</f>
        <v>9.85</v>
      </c>
      <c r="J74" s="2"/>
      <c r="K74" s="2"/>
    </row>
    <row r="75" spans="1:11" x14ac:dyDescent="0.2">
      <c r="A75">
        <f>LOOKUP(Calculations!$C$2,[1]NAM_Buf!$I$5:$I$11093,[1]NAM_Buf!A88:A11176)</f>
        <v>402.5</v>
      </c>
      <c r="B75">
        <f>LOOKUP(Calculations!$C$2,[1]NAM_Buf!$I$5:$I$11093,[1]NAM_Buf!B88:B11176)</f>
        <v>-32.06</v>
      </c>
      <c r="D75">
        <f>LOOKUP(Calculations!$C$2,[1]NAM_Buf!$I$5:$I$11093,[1]NAM_Buf!F89:F11177)</f>
        <v>0</v>
      </c>
      <c r="E75">
        <f>LOOKUP(Calculations!$C$2,[1]NAM_Buf!$I$5:$I$11093,[1]NAM_Buf!G89:G11177)</f>
        <v>0</v>
      </c>
      <c r="J75" s="2"/>
      <c r="K75" s="2"/>
    </row>
    <row r="76" spans="1:11" x14ac:dyDescent="0.2">
      <c r="A76">
        <f>LOOKUP(Calculations!$C$2,[1]NAM_Buf!$I$5:$I$11093,[1]NAM_Buf!A89:A11177)</f>
        <v>57</v>
      </c>
      <c r="B76">
        <f>LOOKUP(Calculations!$C$2,[1]NAM_Buf!$I$5:$I$11093,[1]NAM_Buf!B89:B11177)</f>
        <v>7183.7</v>
      </c>
      <c r="D76">
        <f>LOOKUP(Calculations!$C$2,[1]NAM_Buf!$I$5:$I$11093,[1]NAM_Buf!F90:F11178)</f>
        <v>290.07</v>
      </c>
      <c r="E76">
        <f>LOOKUP(Calculations!$C$2,[1]NAM_Buf!$I$5:$I$11093,[1]NAM_Buf!G90:G11178)</f>
        <v>10.76</v>
      </c>
      <c r="J76" s="2"/>
      <c r="K76" s="2"/>
    </row>
    <row r="77" spans="1:11" x14ac:dyDescent="0.2">
      <c r="A77">
        <f>LOOKUP(Calculations!$C$2,[1]NAM_Buf!$I$5:$I$11093,[1]NAM_Buf!A90:A11178)</f>
        <v>374.2</v>
      </c>
      <c r="B77">
        <f>LOOKUP(Calculations!$C$2,[1]NAM_Buf!$I$5:$I$11093,[1]NAM_Buf!B90:B11178)</f>
        <v>-36.26</v>
      </c>
      <c r="D77">
        <f>LOOKUP(Calculations!$C$2,[1]NAM_Buf!$I$5:$I$11093,[1]NAM_Buf!F91:F11179)</f>
        <v>0</v>
      </c>
      <c r="E77">
        <f>LOOKUP(Calculations!$C$2,[1]NAM_Buf!$I$5:$I$11093,[1]NAM_Buf!G91:G11179)</f>
        <v>0</v>
      </c>
      <c r="J77" s="2"/>
      <c r="K77" s="2"/>
    </row>
    <row r="78" spans="1:11" x14ac:dyDescent="0.2">
      <c r="A78">
        <f>LOOKUP(Calculations!$C$2,[1]NAM_Buf!$I$5:$I$11093,[1]NAM_Buf!A91:A11179)</f>
        <v>60</v>
      </c>
      <c r="B78">
        <f>LOOKUP(Calculations!$C$2,[1]NAM_Buf!$I$5:$I$11093,[1]NAM_Buf!B91:B11179)</f>
        <v>7693.85</v>
      </c>
      <c r="D78">
        <f>LOOKUP(Calculations!$C$2,[1]NAM_Buf!$I$5:$I$11093,[1]NAM_Buf!F92:F11180)</f>
        <v>299.62</v>
      </c>
      <c r="E78">
        <f>LOOKUP(Calculations!$C$2,[1]NAM_Buf!$I$5:$I$11093,[1]NAM_Buf!G92:G11180)</f>
        <v>11.4</v>
      </c>
      <c r="J78" s="2"/>
      <c r="K78" s="2"/>
    </row>
    <row r="79" spans="1:11" x14ac:dyDescent="0.2">
      <c r="A79">
        <f>LOOKUP(Calculations!$C$2,[1]NAM_Buf!$I$5:$I$11093,[1]NAM_Buf!A92:A11180)</f>
        <v>345.6</v>
      </c>
      <c r="B79">
        <f>LOOKUP(Calculations!$C$2,[1]NAM_Buf!$I$5:$I$11093,[1]NAM_Buf!B92:B11180)</f>
        <v>-40.76</v>
      </c>
      <c r="D79">
        <f>LOOKUP(Calculations!$C$2,[1]NAM_Buf!$I$5:$I$11093,[1]NAM_Buf!F93:F11181)</f>
        <v>0</v>
      </c>
      <c r="E79">
        <f>LOOKUP(Calculations!$C$2,[1]NAM_Buf!$I$5:$I$11093,[1]NAM_Buf!G93:G11181)</f>
        <v>0</v>
      </c>
      <c r="J79" s="2"/>
      <c r="K79" s="2"/>
    </row>
    <row r="80" spans="1:11" x14ac:dyDescent="0.2">
      <c r="A80">
        <f>LOOKUP(Calculations!$C$2,[1]NAM_Buf!$I$5:$I$11093,[1]NAM_Buf!A93:A11181)</f>
        <v>0</v>
      </c>
      <c r="B80">
        <f>LOOKUP(Calculations!$C$2,[1]NAM_Buf!$I$5:$I$11093,[1]NAM_Buf!B93:B11181)</f>
        <v>8240.0400000000009</v>
      </c>
      <c r="D80">
        <f>LOOKUP(Calculations!$C$2,[1]NAM_Buf!$I$5:$I$11093,[1]NAM_Buf!F94:F11182)</f>
        <v>307.07</v>
      </c>
      <c r="E80">
        <f>LOOKUP(Calculations!$C$2,[1]NAM_Buf!$I$5:$I$11093,[1]NAM_Buf!G94:G11182)</f>
        <v>10.96</v>
      </c>
      <c r="J80" s="2"/>
      <c r="K80" s="2"/>
    </row>
    <row r="81" spans="1:11" x14ac:dyDescent="0.2">
      <c r="A81">
        <f>LOOKUP(Calculations!$C$2,[1]NAM_Buf!$I$5:$I$11093,[1]NAM_Buf!A94:A11182)</f>
        <v>317</v>
      </c>
      <c r="B81">
        <f>LOOKUP(Calculations!$C$2,[1]NAM_Buf!$I$5:$I$11093,[1]NAM_Buf!B94:B11182)</f>
        <v>-45.86</v>
      </c>
      <c r="D81">
        <f>LOOKUP(Calculations!$C$2,[1]NAM_Buf!$I$5:$I$11093,[1]NAM_Buf!F95:F11183)</f>
        <v>0</v>
      </c>
      <c r="E81">
        <f>LOOKUP(Calculations!$C$2,[1]NAM_Buf!$I$5:$I$11093,[1]NAM_Buf!G95:G11183)</f>
        <v>0</v>
      </c>
      <c r="J81" s="2"/>
      <c r="K81" s="2"/>
    </row>
    <row r="82" spans="1:11" x14ac:dyDescent="0.2">
      <c r="A82">
        <f>LOOKUP(Calculations!$C$2,[1]NAM_Buf!$I$5:$I$11093,[1]NAM_Buf!A95:A11183)</f>
        <v>0</v>
      </c>
      <c r="B82">
        <f>LOOKUP(Calculations!$C$2,[1]NAM_Buf!$I$5:$I$11093,[1]NAM_Buf!B95:B11183)</f>
        <v>8821.27</v>
      </c>
      <c r="D82">
        <f>LOOKUP(Calculations!$C$2,[1]NAM_Buf!$I$5:$I$11093,[1]NAM_Buf!F96:F11184)</f>
        <v>308.29000000000002</v>
      </c>
      <c r="E82">
        <f>LOOKUP(Calculations!$C$2,[1]NAM_Buf!$I$5:$I$11093,[1]NAM_Buf!G96:G11184)</f>
        <v>9.41</v>
      </c>
      <c r="J82" s="2"/>
      <c r="K82" s="2"/>
    </row>
    <row r="83" spans="1:11" x14ac:dyDescent="0.2">
      <c r="A83">
        <f>LOOKUP(Calculations!$C$2,[1]NAM_Buf!$I$5:$I$11093,[1]NAM_Buf!A96:A11184)</f>
        <v>289.2</v>
      </c>
      <c r="B83">
        <f>LOOKUP(Calculations!$C$2,[1]NAM_Buf!$I$5:$I$11093,[1]NAM_Buf!B96:B11184)</f>
        <v>-51.26</v>
      </c>
      <c r="D83">
        <f>LOOKUP(Calculations!$C$2,[1]NAM_Buf!$I$5:$I$11093,[1]NAM_Buf!F97:F11185)</f>
        <v>0</v>
      </c>
      <c r="E83">
        <f>LOOKUP(Calculations!$C$2,[1]NAM_Buf!$I$5:$I$11093,[1]NAM_Buf!G97:G11185)</f>
        <v>0</v>
      </c>
      <c r="J83" s="2"/>
      <c r="K83" s="2"/>
    </row>
    <row r="84" spans="1:11" x14ac:dyDescent="0.2">
      <c r="A84">
        <f>LOOKUP(Calculations!$C$2,[1]NAM_Buf!$I$5:$I$11093,[1]NAM_Buf!A97:A11185)</f>
        <v>0</v>
      </c>
      <c r="B84">
        <f>LOOKUP(Calculations!$C$2,[1]NAM_Buf!$I$5:$I$11093,[1]NAM_Buf!B97:B11185)</f>
        <v>9424.7099999999991</v>
      </c>
      <c r="D84">
        <f>LOOKUP(Calculations!$C$2,[1]NAM_Buf!$I$5:$I$11093,[1]NAM_Buf!F98:F11186)</f>
        <v>306.87</v>
      </c>
      <c r="E84">
        <f>LOOKUP(Calculations!$C$2,[1]NAM_Buf!$I$5:$I$11093,[1]NAM_Buf!G98:G11186)</f>
        <v>8.75</v>
      </c>
      <c r="J84" s="2"/>
      <c r="K84" s="2"/>
    </row>
    <row r="85" spans="1:11" x14ac:dyDescent="0.2">
      <c r="A85">
        <f>LOOKUP(Calculations!$C$2,[1]NAM_Buf!$I$5:$I$11093,[1]NAM_Buf!A98:A11186)</f>
        <v>263.10000000000002</v>
      </c>
      <c r="B85">
        <f>LOOKUP(Calculations!$C$2,[1]NAM_Buf!$I$5:$I$11093,[1]NAM_Buf!B98:B11186)</f>
        <v>-55.76</v>
      </c>
      <c r="D85">
        <f>LOOKUP(Calculations!$C$2,[1]NAM_Buf!$I$5:$I$11093,[1]NAM_Buf!F99:F11187)</f>
        <v>0</v>
      </c>
      <c r="E85">
        <f>LOOKUP(Calculations!$C$2,[1]NAM_Buf!$I$5:$I$11093,[1]NAM_Buf!G99:G11187)</f>
        <v>0</v>
      </c>
      <c r="J85" s="2"/>
      <c r="K85" s="2"/>
    </row>
    <row r="86" spans="1:11" x14ac:dyDescent="0.2">
      <c r="A86">
        <f>LOOKUP(Calculations!$C$2,[1]NAM_Buf!$I$5:$I$11093,[1]NAM_Buf!A99:A11187)</f>
        <v>0</v>
      </c>
      <c r="B86">
        <f>LOOKUP(Calculations!$C$2,[1]NAM_Buf!$I$5:$I$11093,[1]NAM_Buf!B99:B11187)</f>
        <v>10032.86</v>
      </c>
      <c r="D86">
        <f>LOOKUP(Calculations!$C$2,[1]NAM_Buf!$I$5:$I$11093,[1]NAM_Buf!F100:F11188)</f>
        <v>323.81</v>
      </c>
      <c r="E86">
        <f>LOOKUP(Calculations!$C$2,[1]NAM_Buf!$I$5:$I$11093,[1]NAM_Buf!G100:G11188)</f>
        <v>9.8800000000000008</v>
      </c>
      <c r="J86" s="2"/>
      <c r="K86" s="2"/>
    </row>
    <row r="87" spans="1:11" x14ac:dyDescent="0.2">
      <c r="A87">
        <f>LOOKUP(Calculations!$C$2,[1]NAM_Buf!$I$5:$I$11093,[1]NAM_Buf!A100:A11188)</f>
        <v>239.4</v>
      </c>
      <c r="B87">
        <f>LOOKUP(Calculations!$C$2,[1]NAM_Buf!$I$5:$I$11093,[1]NAM_Buf!B100:B11188)</f>
        <v>-58.16</v>
      </c>
      <c r="D87">
        <f>LOOKUP(Calculations!$C$2,[1]NAM_Buf!$I$5:$I$11093,[1]NAM_Buf!F101:F11189)</f>
        <v>0</v>
      </c>
      <c r="E87">
        <f>LOOKUP(Calculations!$C$2,[1]NAM_Buf!$I$5:$I$11093,[1]NAM_Buf!G101:G11189)</f>
        <v>0</v>
      </c>
      <c r="J87" s="2"/>
      <c r="K87" s="2"/>
    </row>
    <row r="88" spans="1:11" x14ac:dyDescent="0.2">
      <c r="A88">
        <f>LOOKUP(Calculations!$C$2,[1]NAM_Buf!$I$5:$I$11093,[1]NAM_Buf!A101:A11189)</f>
        <v>0</v>
      </c>
      <c r="B88">
        <f>LOOKUP(Calculations!$C$2,[1]NAM_Buf!$I$5:$I$11093,[1]NAM_Buf!B101:B11189)</f>
        <v>10630.26</v>
      </c>
      <c r="D88">
        <f>LOOKUP(Calculations!$C$2,[1]NAM_Buf!$I$5:$I$11093,[1]NAM_Buf!F102:F11190)</f>
        <v>359.24</v>
      </c>
      <c r="E88">
        <f>LOOKUP(Calculations!$C$2,[1]NAM_Buf!$I$5:$I$11093,[1]NAM_Buf!G102:G11190)</f>
        <v>14.58</v>
      </c>
      <c r="J88" s="2"/>
      <c r="K88" s="2"/>
    </row>
    <row r="89" spans="1:11" x14ac:dyDescent="0.2">
      <c r="A89">
        <f>LOOKUP(Calculations!$C$2,[1]NAM_Buf!$I$5:$I$11093,[1]NAM_Buf!A102:A11190)</f>
        <v>218</v>
      </c>
      <c r="B89">
        <f>LOOKUP(Calculations!$C$2,[1]NAM_Buf!$I$5:$I$11093,[1]NAM_Buf!B102:B11190)</f>
        <v>-57.26</v>
      </c>
      <c r="D89">
        <f>LOOKUP(Calculations!$C$2,[1]NAM_Buf!$I$5:$I$11093,[1]NAM_Buf!F103:F11191)</f>
        <v>0</v>
      </c>
      <c r="E89">
        <f>LOOKUP(Calculations!$C$2,[1]NAM_Buf!$I$5:$I$11093,[1]NAM_Buf!G103:G11191)</f>
        <v>0</v>
      </c>
      <c r="J89" s="2"/>
      <c r="K89" s="2"/>
    </row>
    <row r="90" spans="1:11" x14ac:dyDescent="0.2">
      <c r="A90">
        <f>LOOKUP(Calculations!$C$2,[1]NAM_Buf!$I$5:$I$11093,[1]NAM_Buf!A103:A11191)</f>
        <v>0</v>
      </c>
      <c r="B90">
        <f>LOOKUP(Calculations!$C$2,[1]NAM_Buf!$I$5:$I$11093,[1]NAM_Buf!B103:B11191)</f>
        <v>11220.81</v>
      </c>
      <c r="D90">
        <f>LOOKUP(Calculations!$C$2,[1]NAM_Buf!$I$5:$I$11093,[1]NAM_Buf!F104:F11192)</f>
        <v>346.7</v>
      </c>
      <c r="E90">
        <f>LOOKUP(Calculations!$C$2,[1]NAM_Buf!$I$5:$I$11093,[1]NAM_Buf!G104:G11192)</f>
        <v>10.99</v>
      </c>
      <c r="J90" s="2"/>
      <c r="K90" s="2"/>
    </row>
    <row r="91" spans="1:11" x14ac:dyDescent="0.2">
      <c r="A91">
        <f>LOOKUP(Calculations!$C$2,[1]NAM_Buf!$I$5:$I$11093,[1]NAM_Buf!A104:A11192)</f>
        <v>198.7</v>
      </c>
      <c r="B91">
        <f>LOOKUP(Calculations!$C$2,[1]NAM_Buf!$I$5:$I$11093,[1]NAM_Buf!B104:B11192)</f>
        <v>-57.26</v>
      </c>
      <c r="D91">
        <f>LOOKUP(Calculations!$C$2,[1]NAM_Buf!$I$5:$I$11093,[1]NAM_Buf!F105:F11193)</f>
        <v>0</v>
      </c>
      <c r="E91">
        <f>LOOKUP(Calculations!$C$2,[1]NAM_Buf!$I$5:$I$11093,[1]NAM_Buf!G105:G11193)</f>
        <v>0</v>
      </c>
      <c r="J91" s="2"/>
      <c r="K91" s="2"/>
    </row>
    <row r="92" spans="1:11" x14ac:dyDescent="0.2">
      <c r="A92">
        <f>LOOKUP(Calculations!$C$2,[1]NAM_Buf!$I$5:$I$11093,[1]NAM_Buf!A105:A11193)</f>
        <v>0</v>
      </c>
      <c r="B92">
        <f>LOOKUP(Calculations!$C$2,[1]NAM_Buf!$I$5:$I$11093,[1]NAM_Buf!B105:B11193)</f>
        <v>11806.64</v>
      </c>
      <c r="D92">
        <f>LOOKUP(Calculations!$C$2,[1]NAM_Buf!$I$5:$I$11093,[1]NAM_Buf!F106:F11194)</f>
        <v>324.73</v>
      </c>
      <c r="E92">
        <f>LOOKUP(Calculations!$C$2,[1]NAM_Buf!$I$5:$I$11093,[1]NAM_Buf!G106:G11194)</f>
        <v>9.76</v>
      </c>
      <c r="J92" s="2"/>
      <c r="K92" s="2"/>
    </row>
    <row r="93" spans="1:11" x14ac:dyDescent="0.2">
      <c r="A93">
        <f>LOOKUP(Calculations!$C$2,[1]NAM_Buf!$I$5:$I$11093,[1]NAM_Buf!A106:A11194)</f>
        <v>181.3</v>
      </c>
      <c r="B93">
        <f>LOOKUP(Calculations!$C$2,[1]NAM_Buf!$I$5:$I$11093,[1]NAM_Buf!B106:B11194)</f>
        <v>-56.96</v>
      </c>
      <c r="D93">
        <f>LOOKUP(Calculations!$C$2,[1]NAM_Buf!$I$5:$I$11093,[1]NAM_Buf!F107:F11195)</f>
        <v>0</v>
      </c>
      <c r="E93">
        <f>LOOKUP(Calculations!$C$2,[1]NAM_Buf!$I$5:$I$11093,[1]NAM_Buf!G107:G11195)</f>
        <v>0</v>
      </c>
      <c r="J93" s="2"/>
      <c r="K93" s="2"/>
    </row>
    <row r="94" spans="1:11" x14ac:dyDescent="0.2">
      <c r="A94">
        <f>LOOKUP(Calculations!$C$2,[1]NAM_Buf!$I$5:$I$11093,[1]NAM_Buf!A107:A11195)</f>
        <v>0</v>
      </c>
      <c r="B94">
        <f>LOOKUP(Calculations!$C$2,[1]NAM_Buf!$I$5:$I$11093,[1]NAM_Buf!B107:B11195)</f>
        <v>12386.2</v>
      </c>
      <c r="D94">
        <f>LOOKUP(Calculations!$C$2,[1]NAM_Buf!$I$5:$I$11093,[1]NAM_Buf!F108:F11196)</f>
        <v>319.39999999999998</v>
      </c>
      <c r="E94">
        <f>LOOKUP(Calculations!$C$2,[1]NAM_Buf!$I$5:$I$11093,[1]NAM_Buf!G108:G11196)</f>
        <v>10.75</v>
      </c>
      <c r="J94" s="2"/>
      <c r="K94" s="2"/>
    </row>
    <row r="95" spans="1:11" x14ac:dyDescent="0.2">
      <c r="A95">
        <f>LOOKUP(Calculations!$C$2,[1]NAM_Buf!$I$5:$I$11093,[1]NAM_Buf!A108:A11196)</f>
        <v>165.6</v>
      </c>
      <c r="B95">
        <f>LOOKUP(Calculations!$C$2,[1]NAM_Buf!$I$5:$I$11093,[1]NAM_Buf!B108:B11196)</f>
        <v>-56.86</v>
      </c>
      <c r="D95">
        <f>LOOKUP(Calculations!$C$2,[1]NAM_Buf!$I$5:$I$11093,[1]NAM_Buf!F109:F11197)</f>
        <v>0</v>
      </c>
      <c r="E95">
        <f>LOOKUP(Calculations!$C$2,[1]NAM_Buf!$I$5:$I$11093,[1]NAM_Buf!G109:G11197)</f>
        <v>0</v>
      </c>
      <c r="J95" s="2"/>
      <c r="K95" s="2"/>
    </row>
    <row r="96" spans="1:11" x14ac:dyDescent="0.2">
      <c r="A96">
        <f>LOOKUP(Calculations!$C$2,[1]NAM_Buf!$I$5:$I$11093,[1]NAM_Buf!A109:A11197)</f>
        <v>0</v>
      </c>
      <c r="B96">
        <f>LOOKUP(Calculations!$C$2,[1]NAM_Buf!$I$5:$I$11093,[1]NAM_Buf!B109:B11197)</f>
        <v>12959.56</v>
      </c>
      <c r="D96">
        <f>LOOKUP(Calculations!$C$2,[1]NAM_Buf!$I$5:$I$11093,[1]NAM_Buf!F110:F11198)</f>
        <v>304.02</v>
      </c>
      <c r="E96">
        <f>LOOKUP(Calculations!$C$2,[1]NAM_Buf!$I$5:$I$11093,[1]NAM_Buf!G110:G11198)</f>
        <v>9.3800000000000008</v>
      </c>
      <c r="J96" s="2"/>
      <c r="K96" s="2"/>
    </row>
    <row r="97" spans="1:11" x14ac:dyDescent="0.2">
      <c r="A97">
        <f>LOOKUP(Calculations!$C$2,[1]NAM_Buf!$I$5:$I$11093,[1]NAM_Buf!A110:A11198)</f>
        <v>151.1</v>
      </c>
      <c r="B97">
        <f>LOOKUP(Calculations!$C$2,[1]NAM_Buf!$I$5:$I$11093,[1]NAM_Buf!B110:B11198)</f>
        <v>-56.66</v>
      </c>
      <c r="D97">
        <f>LOOKUP(Calculations!$C$2,[1]NAM_Buf!$I$5:$I$11093,[1]NAM_Buf!F111:F11199)</f>
        <v>0</v>
      </c>
      <c r="E97">
        <f>LOOKUP(Calculations!$C$2,[1]NAM_Buf!$I$5:$I$11093,[1]NAM_Buf!G111:G11199)</f>
        <v>0</v>
      </c>
      <c r="J97" s="2"/>
      <c r="K97" s="2"/>
    </row>
    <row r="98" spans="1:11" x14ac:dyDescent="0.2">
      <c r="A98">
        <f>LOOKUP(Calculations!$C$2,[1]NAM_Buf!$I$5:$I$11093,[1]NAM_Buf!A111:A11199)</f>
        <v>0</v>
      </c>
      <c r="B98">
        <f>LOOKUP(Calculations!$C$2,[1]NAM_Buf!$I$5:$I$11093,[1]NAM_Buf!B111:B11199)</f>
        <v>13539.99</v>
      </c>
      <c r="D98">
        <f>LOOKUP(Calculations!$C$2,[1]NAM_Buf!$I$5:$I$11093,[1]NAM_Buf!F112:F11200)</f>
        <v>280.74</v>
      </c>
      <c r="E98">
        <f>LOOKUP(Calculations!$C$2,[1]NAM_Buf!$I$5:$I$11093,[1]NAM_Buf!G112:G11200)</f>
        <v>11.48</v>
      </c>
      <c r="J98" s="2"/>
      <c r="K98" s="2"/>
    </row>
    <row r="99" spans="1:11" x14ac:dyDescent="0.2">
      <c r="A99">
        <f>LOOKUP(Calculations!$C$2,[1]NAM_Buf!$I$5:$I$11093,[1]NAM_Buf!A112:A11200)</f>
        <v>137.30000000000001</v>
      </c>
      <c r="B99">
        <f>LOOKUP(Calculations!$C$2,[1]NAM_Buf!$I$5:$I$11093,[1]NAM_Buf!B112:B11200)</f>
        <v>-56.66</v>
      </c>
      <c r="D99">
        <f>LOOKUP(Calculations!$C$2,[1]NAM_Buf!$I$5:$I$11093,[1]NAM_Buf!F113:F11201)</f>
        <v>0</v>
      </c>
      <c r="E99">
        <f>LOOKUP(Calculations!$C$2,[1]NAM_Buf!$I$5:$I$11093,[1]NAM_Buf!G113:G11201)</f>
        <v>0</v>
      </c>
      <c r="J99" s="2"/>
      <c r="K99" s="2"/>
    </row>
    <row r="100" spans="1:11" x14ac:dyDescent="0.2">
      <c r="A100">
        <f>LOOKUP(Calculations!$C$2,[1]NAM_Buf!$I$5:$I$11093,[1]NAM_Buf!A113:A11201)</f>
        <v>0</v>
      </c>
      <c r="B100">
        <f>LOOKUP(Calculations!$C$2,[1]NAM_Buf!$I$5:$I$11093,[1]NAM_Buf!B113:B11201)</f>
        <v>14146.93</v>
      </c>
      <c r="D100">
        <f>LOOKUP(Calculations!$C$2,[1]NAM_Buf!$I$5:$I$11093,[1]NAM_Buf!F114:F11202)</f>
        <v>297.58</v>
      </c>
      <c r="E100">
        <f>LOOKUP(Calculations!$C$2,[1]NAM_Buf!$I$5:$I$11093,[1]NAM_Buf!G114:G11202)</f>
        <v>14.69</v>
      </c>
      <c r="J100" s="2"/>
      <c r="K100" s="2"/>
    </row>
    <row r="101" spans="1:11" x14ac:dyDescent="0.2">
      <c r="A101">
        <f>LOOKUP(Calculations!$C$2,[1]NAM_Buf!$I$5:$I$11093,[1]NAM_Buf!A114:A11202)</f>
        <v>124</v>
      </c>
      <c r="B101">
        <f>LOOKUP(Calculations!$C$2,[1]NAM_Buf!$I$5:$I$11093,[1]NAM_Buf!B114:B11202)</f>
        <v>-56.86</v>
      </c>
      <c r="D101">
        <f>LOOKUP(Calculations!$C$2,[1]NAM_Buf!$I$5:$I$11093,[1]NAM_Buf!F115:F11203)</f>
        <v>0</v>
      </c>
      <c r="E101">
        <f>LOOKUP(Calculations!$C$2,[1]NAM_Buf!$I$5:$I$11093,[1]NAM_Buf!G115:G11203)</f>
        <v>0</v>
      </c>
      <c r="J101" s="2"/>
      <c r="K101" s="2"/>
    </row>
    <row r="102" spans="1:11" x14ac:dyDescent="0.2">
      <c r="A102">
        <f>LOOKUP(Calculations!$C$2,[1]NAM_Buf!$I$5:$I$11093,[1]NAM_Buf!A115:A11203)</f>
        <v>0</v>
      </c>
      <c r="B102">
        <f>LOOKUP(Calculations!$C$2,[1]NAM_Buf!$I$5:$I$11093,[1]NAM_Buf!B115:B11203)</f>
        <v>14792.32</v>
      </c>
      <c r="D102">
        <f>LOOKUP(Calculations!$C$2,[1]NAM_Buf!$I$5:$I$11093,[1]NAM_Buf!F116:F11204)</f>
        <v>310.33</v>
      </c>
      <c r="E102">
        <f>LOOKUP(Calculations!$C$2,[1]NAM_Buf!$I$5:$I$11093,[1]NAM_Buf!G116:G11204)</f>
        <v>13.51</v>
      </c>
      <c r="J102" s="2"/>
      <c r="K102" s="2"/>
    </row>
    <row r="103" spans="1:11" x14ac:dyDescent="0.2">
      <c r="A103">
        <f>LOOKUP(Calculations!$C$2,[1]NAM_Buf!$I$5:$I$11093,[1]NAM_Buf!A116:A11204)</f>
        <v>111.3</v>
      </c>
      <c r="B103">
        <f>LOOKUP(Calculations!$C$2,[1]NAM_Buf!$I$5:$I$11093,[1]NAM_Buf!B116:B11204)</f>
        <v>-57.16</v>
      </c>
      <c r="D103">
        <f>LOOKUP(Calculations!$C$2,[1]NAM_Buf!$I$5:$I$11093,[1]NAM_Buf!F117:F11205)</f>
        <v>0</v>
      </c>
      <c r="E103">
        <f>LOOKUP(Calculations!$C$2,[1]NAM_Buf!$I$5:$I$11093,[1]NAM_Buf!G117:G11205)</f>
        <v>0</v>
      </c>
      <c r="J103" s="2"/>
      <c r="K103" s="2"/>
    </row>
    <row r="104" spans="1:11" x14ac:dyDescent="0.2">
      <c r="A104">
        <f>LOOKUP(Calculations!$C$2,[1]NAM_Buf!$I$5:$I$11093,[1]NAM_Buf!A117:A11205)</f>
        <v>0</v>
      </c>
      <c r="B104">
        <f>LOOKUP(Calculations!$C$2,[1]NAM_Buf!$I$5:$I$11093,[1]NAM_Buf!B117:B11205)</f>
        <v>15475.97</v>
      </c>
      <c r="D104">
        <f>LOOKUP(Calculations!$C$2,[1]NAM_Buf!$I$5:$I$11093,[1]NAM_Buf!F118:F11206)</f>
        <v>294.89999999999998</v>
      </c>
      <c r="E104">
        <f>LOOKUP(Calculations!$C$2,[1]NAM_Buf!$I$5:$I$11093,[1]NAM_Buf!G118:G11206)</f>
        <v>12</v>
      </c>
      <c r="J104" s="2"/>
      <c r="K104" s="2"/>
    </row>
    <row r="105" spans="1:11" x14ac:dyDescent="0.2">
      <c r="A105">
        <f>LOOKUP(Calculations!$C$2,[1]NAM_Buf!$I$5:$I$11093,[1]NAM_Buf!A118:A11206)</f>
        <v>98.9</v>
      </c>
      <c r="B105">
        <f>LOOKUP(Calculations!$C$2,[1]NAM_Buf!$I$5:$I$11093,[1]NAM_Buf!B118:B11206)</f>
        <v>-57.76</v>
      </c>
      <c r="D105">
        <f>LOOKUP(Calculations!$C$2,[1]NAM_Buf!$I$5:$I$11093,[1]NAM_Buf!F119:F11207)</f>
        <v>0</v>
      </c>
      <c r="E105">
        <f>LOOKUP(Calculations!$C$2,[1]NAM_Buf!$I$5:$I$11093,[1]NAM_Buf!G119:G11207)</f>
        <v>0</v>
      </c>
      <c r="J105" s="2"/>
      <c r="K105" s="2"/>
    </row>
    <row r="106" spans="1:11" x14ac:dyDescent="0.2">
      <c r="A106">
        <f>LOOKUP(Calculations!$C$2,[1]NAM_Buf!$I$5:$I$11093,[1]NAM_Buf!A119:A11207)</f>
        <v>0</v>
      </c>
      <c r="B106">
        <f>LOOKUP(Calculations!$C$2,[1]NAM_Buf!$I$5:$I$11093,[1]NAM_Buf!B119:B11207)</f>
        <v>16221.76</v>
      </c>
      <c r="D106">
        <f>LOOKUP(Calculations!$C$2,[1]NAM_Buf!$I$5:$I$11093,[1]NAM_Buf!F120:F11208)</f>
        <v>297.98</v>
      </c>
      <c r="E106">
        <f>LOOKUP(Calculations!$C$2,[1]NAM_Buf!$I$5:$I$11093,[1]NAM_Buf!G120:G11208)</f>
        <v>14.09</v>
      </c>
      <c r="J106" s="2"/>
      <c r="K106" s="2"/>
    </row>
    <row r="107" spans="1:11" x14ac:dyDescent="0.2">
      <c r="A107">
        <f>LOOKUP(Calculations!$C$2,[1]NAM_Buf!$I$5:$I$11093,[1]NAM_Buf!A120:A11208)</f>
        <v>86.9</v>
      </c>
      <c r="B107">
        <f>LOOKUP(Calculations!$C$2,[1]NAM_Buf!$I$5:$I$11093,[1]NAM_Buf!B120:B11208)</f>
        <v>-58.16</v>
      </c>
      <c r="D107">
        <f>LOOKUP(Calculations!$C$2,[1]NAM_Buf!$I$5:$I$11093,[1]NAM_Buf!F121:F11209)</f>
        <v>0</v>
      </c>
      <c r="E107">
        <f>LOOKUP(Calculations!$C$2,[1]NAM_Buf!$I$5:$I$11093,[1]NAM_Buf!G121:G11209)</f>
        <v>0</v>
      </c>
      <c r="J107" s="2"/>
      <c r="K107" s="2"/>
    </row>
    <row r="108" spans="1:11" x14ac:dyDescent="0.2">
      <c r="A108">
        <f>LOOKUP(Calculations!$C$2,[1]NAM_Buf!$I$5:$I$11093,[1]NAM_Buf!A121:A11209)</f>
        <v>0</v>
      </c>
      <c r="B108">
        <f>LOOKUP(Calculations!$C$2,[1]NAM_Buf!$I$5:$I$11093,[1]NAM_Buf!B121:B11209)</f>
        <v>17036.57</v>
      </c>
      <c r="D108">
        <f>LOOKUP(Calculations!$C$2,[1]NAM_Buf!$I$5:$I$11093,[1]NAM_Buf!F122:F11210)</f>
        <v>307.77999999999997</v>
      </c>
      <c r="E108">
        <f>LOOKUP(Calculations!$C$2,[1]NAM_Buf!$I$5:$I$11093,[1]NAM_Buf!G122:G11210)</f>
        <v>9.84</v>
      </c>
      <c r="J108" s="2"/>
      <c r="K108" s="2"/>
    </row>
    <row r="109" spans="1:11" x14ac:dyDescent="0.2">
      <c r="A109">
        <f>LOOKUP(Calculations!$C$2,[1]NAM_Buf!$I$5:$I$11093,[1]NAM_Buf!A122:A11210)</f>
        <v>75.099999999999994</v>
      </c>
      <c r="B109">
        <f>LOOKUP(Calculations!$C$2,[1]NAM_Buf!$I$5:$I$11093,[1]NAM_Buf!B122:B11210)</f>
        <v>-58.26</v>
      </c>
      <c r="D109">
        <f>LOOKUP(Calculations!$C$2,[1]NAM_Buf!$I$5:$I$11093,[1]NAM_Buf!F123:F11211)</f>
        <v>0</v>
      </c>
      <c r="E109">
        <f>LOOKUP(Calculations!$C$2,[1]NAM_Buf!$I$5:$I$11093,[1]NAM_Buf!G123:G11211)</f>
        <v>0</v>
      </c>
      <c r="J109" s="2"/>
      <c r="K109" s="2"/>
    </row>
    <row r="110" spans="1:11" x14ac:dyDescent="0.2">
      <c r="A110">
        <f>LOOKUP(Calculations!$C$2,[1]NAM_Buf!$I$5:$I$11093,[1]NAM_Buf!A123:A11211)</f>
        <v>0</v>
      </c>
      <c r="B110">
        <f>LOOKUP(Calculations!$C$2,[1]NAM_Buf!$I$5:$I$11093,[1]NAM_Buf!B123:B11211)</f>
        <v>17954.79</v>
      </c>
      <c r="D110">
        <f>LOOKUP(Calculations!$C$2,[1]NAM_Buf!$I$5:$I$11093,[1]NAM_Buf!F124:F11212)</f>
        <v>321.33999999999997</v>
      </c>
      <c r="E110">
        <f>LOOKUP(Calculations!$C$2,[1]NAM_Buf!$I$5:$I$11093,[1]NAM_Buf!G124:G11212)</f>
        <v>6.22</v>
      </c>
      <c r="J110" s="2"/>
      <c r="K110" s="2"/>
    </row>
    <row r="111" spans="1:11" x14ac:dyDescent="0.2">
      <c r="A111">
        <f>LOOKUP(Calculations!$C$2,[1]NAM_Buf!$I$5:$I$11093,[1]NAM_Buf!A124:A11212)</f>
        <v>63.6</v>
      </c>
      <c r="B111">
        <f>LOOKUP(Calculations!$C$2,[1]NAM_Buf!$I$5:$I$11093,[1]NAM_Buf!B124:B11212)</f>
        <v>-58.16</v>
      </c>
      <c r="D111">
        <f>LOOKUP(Calculations!$C$2,[1]NAM_Buf!$I$5:$I$11093,[1]NAM_Buf!F125:F11213)</f>
        <v>0</v>
      </c>
      <c r="E111">
        <f>LOOKUP(Calculations!$C$2,[1]NAM_Buf!$I$5:$I$11093,[1]NAM_Buf!G125:G11213)</f>
        <v>0</v>
      </c>
      <c r="J111" s="2"/>
      <c r="K111" s="2"/>
    </row>
    <row r="112" spans="1:11" x14ac:dyDescent="0.2">
      <c r="A112">
        <f>LOOKUP(Calculations!$C$2,[1]NAM_Buf!$I$5:$I$11093,[1]NAM_Buf!A125:A11213)</f>
        <v>0</v>
      </c>
      <c r="B112">
        <f>LOOKUP(Calculations!$C$2,[1]NAM_Buf!$I$5:$I$11093,[1]NAM_Buf!B125:B11213)</f>
        <v>19000.55</v>
      </c>
      <c r="D112">
        <f>LOOKUP(Calculations!$C$2,[1]NAM_Buf!$I$5:$I$11093,[1]NAM_Buf!F126:F11214)</f>
        <v>303.69</v>
      </c>
      <c r="E112">
        <f>LOOKUP(Calculations!$C$2,[1]NAM_Buf!$I$5:$I$11093,[1]NAM_Buf!G126:G11214)</f>
        <v>5.61</v>
      </c>
      <c r="J112" s="2"/>
      <c r="K112" s="2"/>
    </row>
    <row r="113" spans="1:11" x14ac:dyDescent="0.2">
      <c r="A113">
        <f>LOOKUP(Calculations!$C$2,[1]NAM_Buf!$I$5:$I$11093,[1]NAM_Buf!A126:A11214)</f>
        <v>52.3</v>
      </c>
      <c r="B113">
        <f>LOOKUP(Calculations!$C$2,[1]NAM_Buf!$I$5:$I$11093,[1]NAM_Buf!B126:B11214)</f>
        <v>-58.96</v>
      </c>
      <c r="D113">
        <f>LOOKUP(Calculations!$C$2,[1]NAM_Buf!$I$5:$I$11093,[1]NAM_Buf!F127:F11215)</f>
        <v>0</v>
      </c>
      <c r="E113">
        <f>LOOKUP(Calculations!$C$2,[1]NAM_Buf!$I$5:$I$11093,[1]NAM_Buf!G127:G11215)</f>
        <v>0</v>
      </c>
      <c r="J113" s="2"/>
      <c r="K113" s="2"/>
    </row>
    <row r="114" spans="1:11" x14ac:dyDescent="0.2">
      <c r="A114">
        <f>LOOKUP(Calculations!$C$2,[1]NAM_Buf!$I$5:$I$11093,[1]NAM_Buf!A127:A11215)</f>
        <v>0</v>
      </c>
      <c r="B114">
        <f>LOOKUP(Calculations!$C$2,[1]NAM_Buf!$I$5:$I$11093,[1]NAM_Buf!B127:B11215)</f>
        <v>20229.349999999999</v>
      </c>
      <c r="D114">
        <f>LOOKUP(Calculations!$C$2,[1]NAM_Buf!$I$5:$I$11093,[1]NAM_Buf!F128:F11216)</f>
        <v>21.8</v>
      </c>
      <c r="E114">
        <f>LOOKUP(Calculations!$C$2,[1]NAM_Buf!$I$5:$I$11093,[1]NAM_Buf!G128:G11216)</f>
        <v>4.1900000000000004</v>
      </c>
      <c r="J114" s="2"/>
      <c r="K114" s="2"/>
    </row>
    <row r="115" spans="1:11" x14ac:dyDescent="0.2">
      <c r="A115">
        <f>LOOKUP(Calculations!$C$2,[1]NAM_Buf!$I$5:$I$11093,[1]NAM_Buf!A128:A11216)</f>
        <v>41</v>
      </c>
      <c r="B115">
        <f>LOOKUP(Calculations!$C$2,[1]NAM_Buf!$I$5:$I$11093,[1]NAM_Buf!B128:B11216)</f>
        <v>-58.76</v>
      </c>
      <c r="D115">
        <f>LOOKUP(Calculations!$C$2,[1]NAM_Buf!$I$5:$I$11093,[1]NAM_Buf!F129:F11217)</f>
        <v>0</v>
      </c>
      <c r="E115">
        <f>LOOKUP(Calculations!$C$2,[1]NAM_Buf!$I$5:$I$11093,[1]NAM_Buf!G129:G11217)</f>
        <v>0</v>
      </c>
      <c r="J115" s="2"/>
      <c r="K115" s="2"/>
    </row>
    <row r="116" spans="1:11" x14ac:dyDescent="0.2">
      <c r="A116">
        <f>LOOKUP(Calculations!$C$2,[1]NAM_Buf!$I$5:$I$11093,[1]NAM_Buf!A129:A11217)</f>
        <v>0</v>
      </c>
      <c r="B116">
        <f>LOOKUP(Calculations!$C$2,[1]NAM_Buf!$I$5:$I$11093,[1]NAM_Buf!B129:B11217)</f>
        <v>21756.32</v>
      </c>
      <c r="D116">
        <f>LOOKUP(Calculations!$C$2,[1]NAM_Buf!$I$5:$I$11093,[1]NAM_Buf!F130:F11218)</f>
        <v>16.39</v>
      </c>
      <c r="E116">
        <f>LOOKUP(Calculations!$C$2,[1]NAM_Buf!$I$5:$I$11093,[1]NAM_Buf!G130:G11218)</f>
        <v>3.44</v>
      </c>
      <c r="J116" s="2"/>
      <c r="K116" s="2"/>
    </row>
    <row r="117" spans="1:11" x14ac:dyDescent="0.2">
      <c r="A117">
        <f>LOOKUP(Calculations!$C$2,[1]NAM_Buf!$I$5:$I$11093,[1]NAM_Buf!A130:A11218)</f>
        <v>29.8</v>
      </c>
      <c r="B117">
        <f>LOOKUP(Calculations!$C$2,[1]NAM_Buf!$I$5:$I$11093,[1]NAM_Buf!B130:B11218)</f>
        <v>-58.56</v>
      </c>
      <c r="D117">
        <f>LOOKUP(Calculations!$C$2,[1]NAM_Buf!$I$5:$I$11093,[1]NAM_Buf!F131:F11219)</f>
        <v>0</v>
      </c>
      <c r="E117">
        <f>LOOKUP(Calculations!$C$2,[1]NAM_Buf!$I$5:$I$11093,[1]NAM_Buf!G131:G11219)</f>
        <v>0</v>
      </c>
      <c r="J117" s="2"/>
      <c r="K117" s="2"/>
    </row>
    <row r="118" spans="1:11" x14ac:dyDescent="0.2">
      <c r="A118">
        <f>LOOKUP(Calculations!$C$2,[1]NAM_Buf!$I$5:$I$11093,[1]NAM_Buf!A131:A11219)</f>
        <v>0</v>
      </c>
      <c r="B118">
        <f>LOOKUP(Calculations!$C$2,[1]NAM_Buf!$I$5:$I$11093,[1]NAM_Buf!B131:B11219)</f>
        <v>23759.64</v>
      </c>
      <c r="D118">
        <f>LOOKUP(Calculations!$C$2,[1]NAM_Buf!$I$5:$I$11093,[1]NAM_Buf!F132:F11220)</f>
        <v>141.63</v>
      </c>
      <c r="E118">
        <f>LOOKUP(Calculations!$C$2,[1]NAM_Buf!$I$5:$I$11093,[1]NAM_Buf!G132:G11220)</f>
        <v>5.95</v>
      </c>
      <c r="J118" s="2"/>
      <c r="K118" s="2"/>
    </row>
    <row r="119" spans="1:11" x14ac:dyDescent="0.2">
      <c r="A119">
        <f>LOOKUP(Calculations!$C$2,[1]NAM_Buf!$I$5:$I$11093,[1]NAM_Buf!A132:A11220)</f>
        <v>18.7</v>
      </c>
      <c r="B119">
        <f>LOOKUP(Calculations!$C$2,[1]NAM_Buf!$I$5:$I$11093,[1]NAM_Buf!B132:B11220)</f>
        <v>-57.36</v>
      </c>
      <c r="D119">
        <f>LOOKUP(Calculations!$C$2,[1]NAM_Buf!$I$5:$I$11093,[1]NAM_Buf!F133:F11221)</f>
        <v>0</v>
      </c>
      <c r="E119">
        <f>LOOKUP(Calculations!$C$2,[1]NAM_Buf!$I$5:$I$11093,[1]NAM_Buf!G133:G11221)</f>
        <v>0</v>
      </c>
      <c r="J119" s="2"/>
      <c r="K119" s="2"/>
    </row>
    <row r="120" spans="1:11" x14ac:dyDescent="0.2">
      <c r="A120">
        <f>LOOKUP(Calculations!$C$2,[1]NAM_Buf!$I$5:$I$11093,[1]NAM_Buf!A133:A11221)</f>
        <v>0</v>
      </c>
      <c r="B120">
        <f>LOOKUP(Calculations!$C$2,[1]NAM_Buf!$I$5:$I$11093,[1]NAM_Buf!B133:B11221)</f>
        <v>26694.99</v>
      </c>
      <c r="D120">
        <f>LOOKUP(Calculations!$C$2,[1]NAM_Buf!$I$5:$I$11093,[1]NAM_Buf!F134:F11222)</f>
        <v>176.91</v>
      </c>
      <c r="E120">
        <f>LOOKUP(Calculations!$C$2,[1]NAM_Buf!$I$5:$I$11093,[1]NAM_Buf!G134:G11222)</f>
        <v>7.2</v>
      </c>
      <c r="J120" s="2"/>
      <c r="K120" s="2"/>
    </row>
    <row r="121" spans="1:11" x14ac:dyDescent="0.2">
      <c r="A121">
        <f>LOOKUP(Calculations!$C$2,[1]NAM_Buf!$I$5:$I$11093,[1]NAM_Buf!A134:A11222)</f>
        <v>7.6</v>
      </c>
      <c r="B121">
        <f>LOOKUP(Calculations!$C$2,[1]NAM_Buf!$I$5:$I$11093,[1]NAM_Buf!B134:B11222)</f>
        <v>-46.96</v>
      </c>
    </row>
    <row r="122" spans="1:11" x14ac:dyDescent="0.2">
      <c r="A122">
        <f>LOOKUP(Calculations!$C$2,[1]NAM_Buf!$I$5:$I$11093,[1]NAM_Buf!A135:A11223)</f>
        <v>0</v>
      </c>
      <c r="B122">
        <f>LOOKUP(Calculations!$C$2,[1]NAM_Buf!$I$5:$I$11093,[1]NAM_Buf!B135:B11223)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A3" sqref="A3"/>
    </sheetView>
  </sheetViews>
  <sheetFormatPr baseColWidth="10" defaultColWidth="11.5" defaultRowHeight="15" x14ac:dyDescent="0.2"/>
  <sheetData>
    <row r="1" spans="1:12" x14ac:dyDescent="0.2">
      <c r="A1" s="65"/>
      <c r="B1" s="65"/>
      <c r="C1" s="65"/>
      <c r="D1" s="65"/>
    </row>
    <row r="2" spans="1:12" ht="26" customHeight="1" x14ac:dyDescent="0.2">
      <c r="A2" s="66" t="s">
        <v>48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35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2017-03-31T03:38:35Z</dcterms:modified>
</cp:coreProperties>
</file>